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hrysa.Nynke_private/CP_L_R/PBK_ZEARALENONE/Input/"/>
    </mc:Choice>
  </mc:AlternateContent>
  <xr:revisionPtr revIDLastSave="98" documentId="8_{F350443E-DEEE-42B1-90CB-6C99E0D56984}" xr6:coauthVersionLast="47" xr6:coauthVersionMax="47" xr10:uidLastSave="{06D9DE6A-C32E-4509-9093-53DB5792719A}"/>
  <bookViews>
    <workbookView xWindow="-110" yWindow="-110" windowWidth="19420" windowHeight="11500" xr2:uid="{7A6CC22C-5805-4016-ACC6-80411866AB2B}"/>
  </bookViews>
  <sheets>
    <sheet name="ObservedData.Rat" sheetId="1" r:id="rId1"/>
  </sheets>
  <definedNames>
    <definedName name="_xlnm._FilterDatabase" localSheetId="0" hidden="1">ObservedData.Rat!$A$1:$AD$293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1" l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43" i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C212" i="1" s="1"/>
  <c r="AA213" i="1"/>
  <c r="AB213" i="1" s="1"/>
  <c r="AA214" i="1"/>
  <c r="AB214" i="1" s="1"/>
  <c r="AA215" i="1"/>
  <c r="AB215" i="1" s="1"/>
  <c r="AA216" i="1"/>
  <c r="AB216" i="1" s="1"/>
  <c r="AA217" i="1"/>
  <c r="AA218" i="1"/>
  <c r="AA219" i="1"/>
  <c r="AA220" i="1"/>
  <c r="AB220" i="1" s="1"/>
  <c r="AA221" i="1"/>
  <c r="AB221" i="1" s="1"/>
  <c r="AA222" i="1"/>
  <c r="AB222" i="1" s="1"/>
  <c r="AA223" i="1"/>
  <c r="AB223" i="1" s="1"/>
  <c r="AA224" i="1"/>
  <c r="AB224" i="1" s="1"/>
  <c r="AC224" i="1" s="1"/>
  <c r="AA225" i="1"/>
  <c r="AB225" i="1" s="1"/>
  <c r="AA226" i="1"/>
  <c r="AB226" i="1" s="1"/>
  <c r="AA227" i="1"/>
  <c r="AB227" i="1" s="1"/>
  <c r="AA228" i="1"/>
  <c r="AB228" i="1" s="1"/>
  <c r="AA229" i="1"/>
  <c r="AA230" i="1"/>
  <c r="AB230" i="1" s="1"/>
  <c r="AC230" i="1" s="1"/>
  <c r="AA231" i="1"/>
  <c r="AB231" i="1" s="1"/>
  <c r="AA232" i="1"/>
  <c r="AB232" i="1" s="1"/>
  <c r="AA233" i="1"/>
  <c r="AB233" i="1" s="1"/>
  <c r="AA234" i="1"/>
  <c r="AB234" i="1" s="1"/>
  <c r="AA235" i="1"/>
  <c r="AB235" i="1" s="1"/>
  <c r="AA236" i="1"/>
  <c r="AB236" i="1" s="1"/>
  <c r="AC236" i="1" s="1"/>
  <c r="AA237" i="1"/>
  <c r="AB237" i="1" s="1"/>
  <c r="AA238" i="1"/>
  <c r="AB238" i="1" s="1"/>
  <c r="AA239" i="1"/>
  <c r="AB239" i="1" s="1"/>
  <c r="AA240" i="1"/>
  <c r="AB240" i="1" s="1"/>
  <c r="AA241" i="1"/>
  <c r="AB241" i="1" s="1"/>
  <c r="AA242" i="1"/>
  <c r="AB242" i="1" s="1"/>
  <c r="AC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C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X207" i="1"/>
  <c r="X208" i="1"/>
  <c r="Y208" i="1" s="1"/>
  <c r="X209" i="1"/>
  <c r="Y209" i="1" s="1"/>
  <c r="X210" i="1"/>
  <c r="Y210" i="1" s="1"/>
  <c r="X211" i="1"/>
  <c r="Y211" i="1" s="1"/>
  <c r="X212" i="1"/>
  <c r="Y212" i="1" s="1"/>
  <c r="Z212" i="1" s="1"/>
  <c r="X213" i="1"/>
  <c r="Y213" i="1" s="1"/>
  <c r="X214" i="1"/>
  <c r="Y214" i="1" s="1"/>
  <c r="X215" i="1"/>
  <c r="Y215" i="1" s="1"/>
  <c r="X216" i="1"/>
  <c r="X217" i="1"/>
  <c r="X218" i="1"/>
  <c r="Y218" i="1" s="1"/>
  <c r="Z218" i="1" s="1"/>
  <c r="X219" i="1"/>
  <c r="Y219" i="1" s="1"/>
  <c r="X220" i="1"/>
  <c r="Y220" i="1" s="1"/>
  <c r="X221" i="1"/>
  <c r="Y221" i="1" s="1"/>
  <c r="X222" i="1"/>
  <c r="Y222" i="1" s="1"/>
  <c r="X223" i="1"/>
  <c r="Y223" i="1" s="1"/>
  <c r="X224" i="1"/>
  <c r="Y224" i="1" s="1"/>
  <c r="Z224" i="1" s="1"/>
  <c r="X225" i="1"/>
  <c r="Y225" i="1" s="1"/>
  <c r="X226" i="1"/>
  <c r="Y226" i="1" s="1"/>
  <c r="X227" i="1"/>
  <c r="X228" i="1"/>
  <c r="Y228" i="1" s="1"/>
  <c r="X229" i="1"/>
  <c r="Y229" i="1" s="1"/>
  <c r="X230" i="1"/>
  <c r="Y230" i="1" s="1"/>
  <c r="Z230" i="1" s="1"/>
  <c r="X231" i="1"/>
  <c r="Y231" i="1" s="1"/>
  <c r="X232" i="1"/>
  <c r="Y232" i="1" s="1"/>
  <c r="X233" i="1"/>
  <c r="X234" i="1"/>
  <c r="Y234" i="1" s="1"/>
  <c r="X235" i="1"/>
  <c r="X236" i="1"/>
  <c r="X237" i="1"/>
  <c r="Y237" i="1" s="1"/>
  <c r="X238" i="1"/>
  <c r="Y238" i="1" s="1"/>
  <c r="X239" i="1"/>
  <c r="Y239" i="1" s="1"/>
  <c r="X240" i="1"/>
  <c r="Y240" i="1" s="1"/>
  <c r="X241" i="1"/>
  <c r="Y241" i="1" s="1"/>
  <c r="X242" i="1"/>
  <c r="Y242" i="1" s="1"/>
  <c r="Z242" i="1" s="1"/>
  <c r="X243" i="1"/>
  <c r="Y243" i="1" s="1"/>
  <c r="X244" i="1"/>
  <c r="Y244" i="1" s="1"/>
  <c r="X245" i="1"/>
  <c r="X246" i="1"/>
  <c r="Y246" i="1" s="1"/>
  <c r="X247" i="1"/>
  <c r="Y247" i="1" s="1"/>
  <c r="X248" i="1"/>
  <c r="Y248" i="1" s="1"/>
  <c r="Z248" i="1" s="1"/>
  <c r="X249" i="1"/>
  <c r="Y249" i="1" s="1"/>
  <c r="X250" i="1"/>
  <c r="Y250" i="1" s="1"/>
  <c r="X251" i="1"/>
  <c r="Y251" i="1" s="1"/>
  <c r="X252" i="1"/>
  <c r="Y252" i="1" s="1"/>
  <c r="X253" i="1"/>
  <c r="Y253" i="1" s="1"/>
  <c r="AA206" i="1"/>
  <c r="X206" i="1"/>
  <c r="Y206" i="1" s="1"/>
  <c r="U206" i="1"/>
  <c r="U215" i="1"/>
  <c r="AB229" i="1"/>
  <c r="AB219" i="1"/>
  <c r="AB218" i="1"/>
  <c r="AC218" i="1" s="1"/>
  <c r="AB217" i="1"/>
  <c r="AB206" i="1"/>
  <c r="AC206" i="1" s="1"/>
  <c r="Y245" i="1"/>
  <c r="Y236" i="1"/>
  <c r="Z236" i="1" s="1"/>
  <c r="Y235" i="1"/>
  <c r="Y233" i="1"/>
  <c r="Y227" i="1"/>
  <c r="Y216" i="1"/>
  <c r="Y207" i="1"/>
  <c r="V215" i="1"/>
  <c r="V216" i="1"/>
  <c r="V206" i="1"/>
  <c r="W206" i="1" s="1"/>
  <c r="U207" i="1"/>
  <c r="V207" i="1" s="1"/>
  <c r="W207" i="1" s="1"/>
  <c r="U208" i="1"/>
  <c r="V208" i="1" s="1"/>
  <c r="W208" i="1" s="1"/>
  <c r="U209" i="1"/>
  <c r="V209" i="1" s="1"/>
  <c r="U210" i="1"/>
  <c r="V210" i="1" s="1"/>
  <c r="U211" i="1"/>
  <c r="V211" i="1" s="1"/>
  <c r="U212" i="1"/>
  <c r="V212" i="1" s="1"/>
  <c r="U213" i="1"/>
  <c r="V213" i="1" s="1"/>
  <c r="U214" i="1"/>
  <c r="V214" i="1" s="1"/>
  <c r="U216" i="1"/>
  <c r="U217" i="1"/>
  <c r="V217" i="1" s="1"/>
  <c r="U218" i="1"/>
  <c r="V218" i="1" s="1"/>
  <c r="W218" i="1" s="1"/>
  <c r="U219" i="1"/>
  <c r="V219" i="1" s="1"/>
  <c r="U220" i="1"/>
  <c r="V220" i="1" s="1"/>
  <c r="U221" i="1"/>
  <c r="V221" i="1" s="1"/>
  <c r="U222" i="1"/>
  <c r="V222" i="1" s="1"/>
  <c r="U223" i="1"/>
  <c r="V223" i="1" s="1"/>
  <c r="U224" i="1"/>
  <c r="V224" i="1" s="1"/>
  <c r="W224" i="1" s="1"/>
  <c r="U225" i="1"/>
  <c r="V225" i="1" s="1"/>
  <c r="U226" i="1"/>
  <c r="V226" i="1" s="1"/>
  <c r="U227" i="1"/>
  <c r="V227" i="1" s="1"/>
  <c r="U228" i="1"/>
  <c r="V228" i="1" s="1"/>
  <c r="U229" i="1"/>
  <c r="V229" i="1" s="1"/>
  <c r="U230" i="1"/>
  <c r="V230" i="1" s="1"/>
  <c r="W230" i="1" s="1"/>
  <c r="U231" i="1"/>
  <c r="V231" i="1" s="1"/>
  <c r="U232" i="1"/>
  <c r="V232" i="1" s="1"/>
  <c r="U233" i="1"/>
  <c r="V233" i="1" s="1"/>
  <c r="U234" i="1"/>
  <c r="V234" i="1" s="1"/>
  <c r="U235" i="1"/>
  <c r="V235" i="1" s="1"/>
  <c r="U236" i="1"/>
  <c r="V236" i="1" s="1"/>
  <c r="W236" i="1" s="1"/>
  <c r="U237" i="1"/>
  <c r="V237" i="1" s="1"/>
  <c r="U238" i="1"/>
  <c r="V238" i="1" s="1"/>
  <c r="U239" i="1"/>
  <c r="V239" i="1" s="1"/>
  <c r="U240" i="1"/>
  <c r="V240" i="1" s="1"/>
  <c r="U241" i="1"/>
  <c r="V241" i="1" s="1"/>
  <c r="U242" i="1"/>
  <c r="V242" i="1" s="1"/>
  <c r="W242" i="1" s="1"/>
  <c r="U243" i="1"/>
  <c r="V243" i="1" s="1"/>
  <c r="U244" i="1"/>
  <c r="V244" i="1" s="1"/>
  <c r="U245" i="1"/>
  <c r="V245" i="1" s="1"/>
  <c r="U246" i="1"/>
  <c r="V246" i="1" s="1"/>
  <c r="U247" i="1"/>
  <c r="V247" i="1" s="1"/>
  <c r="U248" i="1"/>
  <c r="V248" i="1" s="1"/>
  <c r="W248" i="1" s="1"/>
  <c r="U249" i="1"/>
  <c r="V249" i="1" s="1"/>
  <c r="U250" i="1"/>
  <c r="V250" i="1" s="1"/>
  <c r="U251" i="1"/>
  <c r="V251" i="1" s="1"/>
  <c r="U252" i="1"/>
  <c r="V252" i="1" s="1"/>
  <c r="U253" i="1"/>
  <c r="V253" i="1" s="1"/>
  <c r="Y217" i="1"/>
  <c r="W225" i="1" l="1"/>
  <c r="W226" i="1" s="1"/>
  <c r="W227" i="1" s="1"/>
  <c r="W228" i="1" s="1"/>
  <c r="W229" i="1" s="1"/>
  <c r="Z243" i="1"/>
  <c r="W209" i="1"/>
  <c r="W210" i="1" s="1"/>
  <c r="W211" i="1" s="1"/>
  <c r="W249" i="1"/>
  <c r="W250" i="1" s="1"/>
  <c r="W251" i="1" s="1"/>
  <c r="W252" i="1" s="1"/>
  <c r="W253" i="1" s="1"/>
  <c r="W237" i="1"/>
  <c r="W238" i="1" s="1"/>
  <c r="W239" i="1" s="1"/>
  <c r="W240" i="1" s="1"/>
  <c r="W241" i="1" s="1"/>
  <c r="W212" i="1"/>
  <c r="W231" i="1"/>
  <c r="W232" i="1" s="1"/>
  <c r="W233" i="1" s="1"/>
  <c r="W234" i="1" s="1"/>
  <c r="W235" i="1" s="1"/>
  <c r="W213" i="1"/>
  <c r="W214" i="1" s="1"/>
  <c r="W215" i="1" s="1"/>
  <c r="W216" i="1" s="1"/>
  <c r="W217" i="1" s="1"/>
  <c r="Z206" i="1"/>
  <c r="Z207" i="1" s="1"/>
  <c r="Z208" i="1" s="1"/>
  <c r="Z209" i="1" s="1"/>
  <c r="Z210" i="1" s="1"/>
  <c r="Z211" i="1" s="1"/>
  <c r="Z219" i="1"/>
  <c r="Z220" i="1" s="1"/>
  <c r="Z221" i="1" s="1"/>
  <c r="Z222" i="1" s="1"/>
  <c r="Z223" i="1" s="1"/>
  <c r="Z231" i="1"/>
  <c r="Z232" i="1" s="1"/>
  <c r="Z233" i="1" s="1"/>
  <c r="Z234" i="1" s="1"/>
  <c r="Z235" i="1" s="1"/>
  <c r="Z237" i="1"/>
  <c r="Z238" i="1" s="1"/>
  <c r="Z239" i="1" s="1"/>
  <c r="Z240" i="1" s="1"/>
  <c r="Z241" i="1" s="1"/>
  <c r="Z213" i="1"/>
  <c r="Z214" i="1" s="1"/>
  <c r="Z215" i="1" s="1"/>
  <c r="Z216" i="1" s="1"/>
  <c r="Z217" i="1" s="1"/>
  <c r="Z225" i="1"/>
  <c r="Z226" i="1" s="1"/>
  <c r="Z227" i="1" s="1"/>
  <c r="Z228" i="1" s="1"/>
  <c r="Z229" i="1" s="1"/>
  <c r="Z249" i="1"/>
  <c r="Z250" i="1" s="1"/>
  <c r="Z251" i="1" s="1"/>
  <c r="Z252" i="1" s="1"/>
  <c r="Z253" i="1" s="1"/>
  <c r="AC207" i="1"/>
  <c r="AC208" i="1" s="1"/>
  <c r="AC209" i="1" s="1"/>
  <c r="AC210" i="1" s="1"/>
  <c r="AC211" i="1" s="1"/>
  <c r="AC231" i="1"/>
  <c r="AC232" i="1" s="1"/>
  <c r="AC233" i="1" s="1"/>
  <c r="AC234" i="1" s="1"/>
  <c r="AC235" i="1" s="1"/>
  <c r="AC219" i="1"/>
  <c r="AC220" i="1" s="1"/>
  <c r="AC221" i="1" s="1"/>
  <c r="AC222" i="1" s="1"/>
  <c r="AC223" i="1" s="1"/>
  <c r="AC243" i="1"/>
  <c r="AC244" i="1" s="1"/>
  <c r="AC245" i="1" s="1"/>
  <c r="AC246" i="1" s="1"/>
  <c r="AC247" i="1" s="1"/>
  <c r="AC213" i="1"/>
  <c r="AC214" i="1" s="1"/>
  <c r="AC215" i="1" s="1"/>
  <c r="AC216" i="1" s="1"/>
  <c r="AC217" i="1" s="1"/>
  <c r="AC225" i="1"/>
  <c r="AC226" i="1" s="1"/>
  <c r="AC227" i="1" s="1"/>
  <c r="AC228" i="1" s="1"/>
  <c r="AC229" i="1" s="1"/>
  <c r="AC237" i="1"/>
  <c r="AC238" i="1" s="1"/>
  <c r="AC239" i="1" s="1"/>
  <c r="AC240" i="1" s="1"/>
  <c r="AC241" i="1" s="1"/>
  <c r="AC249" i="1"/>
  <c r="AC250" i="1" s="1"/>
  <c r="AC251" i="1" s="1"/>
  <c r="AC252" i="1" s="1"/>
  <c r="AC253" i="1" s="1"/>
  <c r="Z244" i="1"/>
  <c r="Z245" i="1" s="1"/>
  <c r="Z246" i="1" s="1"/>
  <c r="Z247" i="1" s="1"/>
  <c r="W243" i="1"/>
  <c r="W244" i="1" s="1"/>
  <c r="W245" i="1" s="1"/>
  <c r="W246" i="1" s="1"/>
  <c r="W247" i="1" s="1"/>
  <c r="W219" i="1"/>
  <c r="W220" i="1" s="1"/>
  <c r="W221" i="1" s="1"/>
  <c r="W222" i="1" s="1"/>
  <c r="W223" i="1" s="1"/>
</calcChain>
</file>

<file path=xl/sharedStrings.xml><?xml version="1.0" encoding="utf-8"?>
<sst xmlns="http://schemas.openxmlformats.org/spreadsheetml/2006/main" count="6232" uniqueCount="80">
  <si>
    <t>Author</t>
  </si>
  <si>
    <t>Species</t>
  </si>
  <si>
    <t>Sex</t>
  </si>
  <si>
    <t>BW</t>
  </si>
  <si>
    <t>SubjectNo</t>
  </si>
  <si>
    <t>TestCompound</t>
  </si>
  <si>
    <t>AdminType</t>
  </si>
  <si>
    <t>POFormula</t>
  </si>
  <si>
    <t>PODose</t>
  </si>
  <si>
    <t>IVBolusDose</t>
  </si>
  <si>
    <t>IVPerfRate</t>
  </si>
  <si>
    <t>IVPerfDur</t>
  </si>
  <si>
    <t>TKParameter</t>
  </si>
  <si>
    <t>TKValue</t>
  </si>
  <si>
    <t>SampleCompound</t>
  </si>
  <si>
    <t>SamplingTime</t>
  </si>
  <si>
    <t>Tissue</t>
  </si>
  <si>
    <t>Concentration</t>
  </si>
  <si>
    <t>Unit</t>
  </si>
  <si>
    <t>Cmin</t>
  </si>
  <si>
    <t>Cmax</t>
  </si>
  <si>
    <t>Sprague-Dawley</t>
  </si>
  <si>
    <t>ZEN</t>
  </si>
  <si>
    <t>IV</t>
  </si>
  <si>
    <t>NA</t>
  </si>
  <si>
    <t>ng/ml</t>
  </si>
  <si>
    <t>Liver</t>
  </si>
  <si>
    <t>Spleen</t>
  </si>
  <si>
    <t>Female</t>
  </si>
  <si>
    <t>PO</t>
  </si>
  <si>
    <t>a_ZEL</t>
  </si>
  <si>
    <t>Urine</t>
  </si>
  <si>
    <t>Wistar</t>
  </si>
  <si>
    <t>Q.Lu</t>
  </si>
  <si>
    <t>AUC</t>
  </si>
  <si>
    <t>ng/ml*h</t>
  </si>
  <si>
    <t>Tmax</t>
  </si>
  <si>
    <t>h</t>
  </si>
  <si>
    <t>T1/2</t>
  </si>
  <si>
    <t>Plasma</t>
  </si>
  <si>
    <t>0.5%_SodiumCarboxymethyl_Cellulose</t>
  </si>
  <si>
    <t>Shin</t>
  </si>
  <si>
    <t>Male</t>
  </si>
  <si>
    <t>t1/2</t>
  </si>
  <si>
    <t>CL_tot</t>
  </si>
  <si>
    <t>L/h/kg</t>
  </si>
  <si>
    <t>Vd_ss</t>
  </si>
  <si>
    <t>L/kg</t>
  </si>
  <si>
    <t>fe_urine</t>
  </si>
  <si>
    <t>%</t>
  </si>
  <si>
    <t>IV.PERF</t>
  </si>
  <si>
    <t>Lung</t>
  </si>
  <si>
    <t>Kidney</t>
  </si>
  <si>
    <t>Heart</t>
  </si>
  <si>
    <t>Testis</t>
  </si>
  <si>
    <t>Brain</t>
  </si>
  <si>
    <t>Muscle</t>
  </si>
  <si>
    <t>Adipose</t>
  </si>
  <si>
    <t>Stomach</t>
  </si>
  <si>
    <t>Blood</t>
  </si>
  <si>
    <t>Serum</t>
  </si>
  <si>
    <t>DMSO:PEG_400:saline_(1:%:4 v/v)</t>
  </si>
  <si>
    <t>CL_app</t>
  </si>
  <si>
    <t>Vd_app</t>
  </si>
  <si>
    <t>F</t>
  </si>
  <si>
    <t xml:space="preserve"> v/v)</t>
  </si>
  <si>
    <t>Videmann</t>
  </si>
  <si>
    <t>maize_oil_5%DMSO</t>
  </si>
  <si>
    <t>ZEN_glu</t>
  </si>
  <si>
    <t>a_ZEL_glu</t>
  </si>
  <si>
    <t>Intestine</t>
  </si>
  <si>
    <t>A_ng</t>
  </si>
  <si>
    <t>A_umol</t>
  </si>
  <si>
    <t>A_min_ng</t>
  </si>
  <si>
    <t>A_min_umol</t>
  </si>
  <si>
    <t>A_max_ng</t>
  </si>
  <si>
    <t>A_max_umol</t>
  </si>
  <si>
    <t>A_cum_max_umol</t>
  </si>
  <si>
    <t>A_cum_umol</t>
  </si>
  <si>
    <t>A_cum_min_umol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</si>
</sst>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1" fontId="0" fillId="33" borderId="0" xfId="0" applyNumberFormat="1" applyFill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4A6D-C161-42B0-BDCE-B401913E74B1}">
  <sheetPr filterMode="1"/>
  <dimension ref="A1:AD293"/>
  <sheetViews>
    <sheetView tabSelected="1" topLeftCell="J1" workbookViewId="0">
      <pane ySplit="1" topLeftCell="A43" activePane="bottomLeft" state="frozen"/>
      <selection pane="bottomLeft" activeCell="Q56" sqref="Q56"/>
    </sheetView>
  </sheetViews>
  <sheetFormatPr defaultRowHeight="14.5" x14ac:dyDescent="0.35"/>
  <cols>
    <col min="2" max="2" width="8.7265625" customWidth="1"/>
    <col min="4" max="10" width="8.7265625" customWidth="1"/>
    <col min="11" max="11" width="8.7265625" style="2" customWidth="1"/>
    <col min="12" max="14" width="8.7265625" customWidth="1"/>
    <col min="17" max="17" width="8.7265625" customWidth="1"/>
    <col min="18" max="18" width="12.453125" style="1" customWidth="1"/>
    <col min="19" max="20" width="8.7265625" style="1" customWidth="1"/>
    <col min="21" max="21" width="11.36328125" style="1" customWidth="1"/>
    <col min="22" max="22" width="9.36328125" style="1" customWidth="1"/>
    <col min="23" max="23" width="9.36328125" style="4" bestFit="1" customWidth="1"/>
    <col min="24" max="24" width="11.36328125" style="1" hidden="1" customWidth="1"/>
    <col min="25" max="25" width="9.36328125" style="1" hidden="1" customWidth="1"/>
    <col min="26" max="26" width="9.36328125" style="4" bestFit="1" customWidth="1"/>
    <col min="27" max="27" width="11.36328125" style="1" customWidth="1"/>
    <col min="28" max="28" width="9.36328125" style="1" customWidth="1"/>
    <col min="29" max="29" width="9.36328125" style="4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19</v>
      </c>
      <c r="T1" s="1" t="s">
        <v>20</v>
      </c>
      <c r="U1" s="1" t="s">
        <v>71</v>
      </c>
      <c r="V1" s="1" t="s">
        <v>72</v>
      </c>
      <c r="W1" s="4" t="s">
        <v>78</v>
      </c>
      <c r="X1" s="1" t="s">
        <v>73</v>
      </c>
      <c r="Y1" s="1" t="s">
        <v>74</v>
      </c>
      <c r="Z1" s="4" t="s">
        <v>79</v>
      </c>
      <c r="AA1" s="1" t="s">
        <v>75</v>
      </c>
      <c r="AB1" s="1" t="s">
        <v>76</v>
      </c>
      <c r="AC1" s="4" t="s">
        <v>77</v>
      </c>
      <c r="AD1" t="s">
        <v>18</v>
      </c>
    </row>
    <row r="2" spans="1:30" hidden="1" x14ac:dyDescent="0.35">
      <c r="A2" t="s">
        <v>33</v>
      </c>
      <c r="B2" t="s">
        <v>21</v>
      </c>
      <c r="C2" t="s">
        <v>28</v>
      </c>
      <c r="D2">
        <v>0.2</v>
      </c>
      <c r="E2">
        <v>6</v>
      </c>
      <c r="F2" t="s">
        <v>22</v>
      </c>
      <c r="G2" t="s">
        <v>23</v>
      </c>
      <c r="H2" t="s">
        <v>24</v>
      </c>
      <c r="I2" t="s">
        <v>24</v>
      </c>
      <c r="J2">
        <v>6.65</v>
      </c>
      <c r="K2" s="2" t="s">
        <v>24</v>
      </c>
      <c r="L2" t="s">
        <v>24</v>
      </c>
      <c r="M2" t="s">
        <v>34</v>
      </c>
      <c r="N2">
        <v>7032.32</v>
      </c>
      <c r="O2" t="s">
        <v>22</v>
      </c>
      <c r="P2" t="s">
        <v>24</v>
      </c>
      <c r="Q2" t="s">
        <v>24</v>
      </c>
      <c r="R2" s="1" t="s">
        <v>24</v>
      </c>
      <c r="S2" s="1" t="s">
        <v>24</v>
      </c>
      <c r="T2" s="1" t="s">
        <v>24</v>
      </c>
      <c r="U2" s="1" t="s">
        <v>24</v>
      </c>
      <c r="V2" s="1" t="s">
        <v>24</v>
      </c>
      <c r="W2" s="4" t="s">
        <v>24</v>
      </c>
      <c r="X2" s="1" t="s">
        <v>24</v>
      </c>
      <c r="Y2" s="1" t="s">
        <v>24</v>
      </c>
      <c r="Z2" s="4" t="s">
        <v>24</v>
      </c>
      <c r="AA2" s="1" t="s">
        <v>24</v>
      </c>
      <c r="AB2" s="1" t="s">
        <v>24</v>
      </c>
      <c r="AC2" s="4" t="s">
        <v>24</v>
      </c>
      <c r="AD2" t="s">
        <v>35</v>
      </c>
    </row>
    <row r="3" spans="1:30" hidden="1" x14ac:dyDescent="0.35">
      <c r="A3" t="s">
        <v>33</v>
      </c>
      <c r="B3" t="s">
        <v>21</v>
      </c>
      <c r="C3" t="s">
        <v>28</v>
      </c>
      <c r="D3">
        <v>0.2</v>
      </c>
      <c r="E3">
        <v>6</v>
      </c>
      <c r="F3" t="s">
        <v>22</v>
      </c>
      <c r="G3" t="s">
        <v>23</v>
      </c>
      <c r="H3" t="s">
        <v>24</v>
      </c>
      <c r="I3" t="s">
        <v>24</v>
      </c>
      <c r="J3">
        <v>6.65</v>
      </c>
      <c r="K3" s="2" t="s">
        <v>24</v>
      </c>
      <c r="L3" t="s">
        <v>24</v>
      </c>
      <c r="M3" t="s">
        <v>36</v>
      </c>
      <c r="N3" t="s">
        <v>24</v>
      </c>
      <c r="O3" t="s">
        <v>22</v>
      </c>
      <c r="P3" t="s">
        <v>24</v>
      </c>
      <c r="Q3" t="s">
        <v>24</v>
      </c>
      <c r="R3" s="1" t="s">
        <v>24</v>
      </c>
      <c r="S3" s="1" t="s">
        <v>24</v>
      </c>
      <c r="T3" s="1" t="s">
        <v>24</v>
      </c>
      <c r="U3" s="1" t="s">
        <v>24</v>
      </c>
      <c r="V3" s="1" t="s">
        <v>24</v>
      </c>
      <c r="W3" s="4" t="s">
        <v>24</v>
      </c>
      <c r="X3" s="1" t="s">
        <v>24</v>
      </c>
      <c r="Y3" s="1" t="s">
        <v>24</v>
      </c>
      <c r="Z3" s="4" t="s">
        <v>24</v>
      </c>
      <c r="AA3" s="1" t="s">
        <v>24</v>
      </c>
      <c r="AB3" s="1" t="s">
        <v>24</v>
      </c>
      <c r="AC3" s="4" t="s">
        <v>24</v>
      </c>
      <c r="AD3" t="s">
        <v>37</v>
      </c>
    </row>
    <row r="4" spans="1:30" hidden="1" x14ac:dyDescent="0.35">
      <c r="A4" t="s">
        <v>33</v>
      </c>
      <c r="B4" t="s">
        <v>21</v>
      </c>
      <c r="C4" t="s">
        <v>28</v>
      </c>
      <c r="D4">
        <v>0.2</v>
      </c>
      <c r="E4">
        <v>6</v>
      </c>
      <c r="F4" t="s">
        <v>22</v>
      </c>
      <c r="G4" t="s">
        <v>23</v>
      </c>
      <c r="H4" t="s">
        <v>24</v>
      </c>
      <c r="I4" t="s">
        <v>24</v>
      </c>
      <c r="J4">
        <v>6.65</v>
      </c>
      <c r="K4" s="2" t="s">
        <v>24</v>
      </c>
      <c r="L4" t="s">
        <v>24</v>
      </c>
      <c r="M4" t="s">
        <v>38</v>
      </c>
      <c r="N4" t="s">
        <v>24</v>
      </c>
      <c r="O4" t="s">
        <v>22</v>
      </c>
      <c r="P4" t="s">
        <v>24</v>
      </c>
      <c r="Q4" t="s">
        <v>24</v>
      </c>
      <c r="R4" s="1" t="s">
        <v>24</v>
      </c>
      <c r="S4" s="1" t="s">
        <v>24</v>
      </c>
      <c r="T4" s="1" t="s">
        <v>24</v>
      </c>
      <c r="U4" s="1" t="s">
        <v>24</v>
      </c>
      <c r="V4" s="1" t="s">
        <v>24</v>
      </c>
      <c r="W4" s="4" t="s">
        <v>24</v>
      </c>
      <c r="X4" s="1" t="s">
        <v>24</v>
      </c>
      <c r="Y4" s="1" t="s">
        <v>24</v>
      </c>
      <c r="Z4" s="4" t="s">
        <v>24</v>
      </c>
      <c r="AA4" s="1" t="s">
        <v>24</v>
      </c>
      <c r="AB4" s="1" t="s">
        <v>24</v>
      </c>
      <c r="AC4" s="4" t="s">
        <v>24</v>
      </c>
      <c r="AD4" t="s">
        <v>37</v>
      </c>
    </row>
    <row r="5" spans="1:30" hidden="1" x14ac:dyDescent="0.35">
      <c r="A5" t="s">
        <v>33</v>
      </c>
      <c r="B5" t="s">
        <v>21</v>
      </c>
      <c r="C5" t="s">
        <v>28</v>
      </c>
      <c r="D5">
        <v>0.2</v>
      </c>
      <c r="E5">
        <v>6</v>
      </c>
      <c r="F5" t="s">
        <v>22</v>
      </c>
      <c r="G5" t="s">
        <v>23</v>
      </c>
      <c r="H5" t="s">
        <v>24</v>
      </c>
      <c r="I5" t="s">
        <v>24</v>
      </c>
      <c r="J5">
        <v>6.65</v>
      </c>
      <c r="K5" s="2" t="s">
        <v>24</v>
      </c>
      <c r="L5" t="s">
        <v>24</v>
      </c>
      <c r="M5" t="s">
        <v>20</v>
      </c>
      <c r="N5">
        <v>2533</v>
      </c>
      <c r="O5" t="s">
        <v>22</v>
      </c>
      <c r="P5" t="s">
        <v>24</v>
      </c>
      <c r="Q5" t="s">
        <v>24</v>
      </c>
      <c r="R5" s="1" t="s">
        <v>24</v>
      </c>
      <c r="S5" s="1" t="s">
        <v>24</v>
      </c>
      <c r="T5" s="1" t="s">
        <v>24</v>
      </c>
      <c r="U5" s="1" t="s">
        <v>24</v>
      </c>
      <c r="V5" s="1" t="s">
        <v>24</v>
      </c>
      <c r="W5" s="4" t="s">
        <v>24</v>
      </c>
      <c r="X5" s="1" t="s">
        <v>24</v>
      </c>
      <c r="Y5" s="1" t="s">
        <v>24</v>
      </c>
      <c r="Z5" s="4" t="s">
        <v>24</v>
      </c>
      <c r="AA5" s="1" t="s">
        <v>24</v>
      </c>
      <c r="AB5" s="1" t="s">
        <v>24</v>
      </c>
      <c r="AC5" s="4" t="s">
        <v>24</v>
      </c>
      <c r="AD5" t="s">
        <v>25</v>
      </c>
    </row>
    <row r="6" spans="1:30" hidden="1" x14ac:dyDescent="0.35">
      <c r="A6" t="s">
        <v>33</v>
      </c>
      <c r="B6" t="s">
        <v>21</v>
      </c>
      <c r="C6" t="s">
        <v>28</v>
      </c>
      <c r="D6">
        <v>0.2</v>
      </c>
      <c r="E6">
        <v>6</v>
      </c>
      <c r="F6" t="s">
        <v>22</v>
      </c>
      <c r="G6" t="s">
        <v>23</v>
      </c>
      <c r="H6" t="s">
        <v>24</v>
      </c>
      <c r="I6" t="s">
        <v>24</v>
      </c>
      <c r="J6">
        <v>6.65</v>
      </c>
      <c r="K6" s="2" t="s">
        <v>24</v>
      </c>
      <c r="L6" t="s">
        <v>24</v>
      </c>
      <c r="M6" t="s">
        <v>24</v>
      </c>
      <c r="N6" t="s">
        <v>24</v>
      </c>
      <c r="O6" t="s">
        <v>22</v>
      </c>
      <c r="P6">
        <v>8.3000000000000004E-2</v>
      </c>
      <c r="Q6" t="s">
        <v>39</v>
      </c>
      <c r="R6" s="1">
        <v>2331.0100000000002</v>
      </c>
      <c r="S6" s="1">
        <v>2200.35</v>
      </c>
      <c r="T6" s="1">
        <v>2451.2199999999998</v>
      </c>
      <c r="U6" s="1" t="s">
        <v>24</v>
      </c>
      <c r="V6" s="1" t="s">
        <v>24</v>
      </c>
      <c r="W6" s="4" t="s">
        <v>24</v>
      </c>
      <c r="X6" s="1" t="s">
        <v>24</v>
      </c>
      <c r="Y6" s="1" t="s">
        <v>24</v>
      </c>
      <c r="Z6" s="4" t="s">
        <v>24</v>
      </c>
      <c r="AA6" s="1" t="s">
        <v>24</v>
      </c>
      <c r="AB6" s="1" t="s">
        <v>24</v>
      </c>
      <c r="AC6" s="4" t="s">
        <v>24</v>
      </c>
      <c r="AD6" t="s">
        <v>25</v>
      </c>
    </row>
    <row r="7" spans="1:30" hidden="1" x14ac:dyDescent="0.35">
      <c r="A7" t="s">
        <v>33</v>
      </c>
      <c r="B7" t="s">
        <v>21</v>
      </c>
      <c r="C7" t="s">
        <v>28</v>
      </c>
      <c r="D7">
        <v>0.2</v>
      </c>
      <c r="E7">
        <v>6</v>
      </c>
      <c r="F7" t="s">
        <v>22</v>
      </c>
      <c r="G7" t="s">
        <v>23</v>
      </c>
      <c r="H7" t="s">
        <v>24</v>
      </c>
      <c r="I7" t="s">
        <v>24</v>
      </c>
      <c r="J7">
        <v>6.65</v>
      </c>
      <c r="K7" s="2" t="s">
        <v>24</v>
      </c>
      <c r="L7" t="s">
        <v>24</v>
      </c>
      <c r="M7" t="s">
        <v>24</v>
      </c>
      <c r="N7" t="s">
        <v>24</v>
      </c>
      <c r="O7" t="s">
        <v>22</v>
      </c>
      <c r="P7">
        <v>0.16</v>
      </c>
      <c r="Q7" t="s">
        <v>39</v>
      </c>
      <c r="R7" s="1">
        <v>1181.19</v>
      </c>
      <c r="S7" s="1">
        <v>1086.1099999999999</v>
      </c>
      <c r="T7" s="1">
        <v>1280.49</v>
      </c>
      <c r="U7" s="1" t="s">
        <v>24</v>
      </c>
      <c r="V7" s="1" t="s">
        <v>24</v>
      </c>
      <c r="W7" s="4" t="s">
        <v>24</v>
      </c>
      <c r="X7" s="1" t="s">
        <v>24</v>
      </c>
      <c r="Y7" s="1" t="s">
        <v>24</v>
      </c>
      <c r="Z7" s="4" t="s">
        <v>24</v>
      </c>
      <c r="AA7" s="1" t="s">
        <v>24</v>
      </c>
      <c r="AB7" s="1" t="s">
        <v>24</v>
      </c>
      <c r="AC7" s="4" t="s">
        <v>24</v>
      </c>
      <c r="AD7" t="s">
        <v>25</v>
      </c>
    </row>
    <row r="8" spans="1:30" hidden="1" x14ac:dyDescent="0.35">
      <c r="A8" t="s">
        <v>33</v>
      </c>
      <c r="B8" t="s">
        <v>21</v>
      </c>
      <c r="C8" t="s">
        <v>28</v>
      </c>
      <c r="D8">
        <v>0.2</v>
      </c>
      <c r="E8">
        <v>6</v>
      </c>
      <c r="F8" t="s">
        <v>22</v>
      </c>
      <c r="G8" t="s">
        <v>23</v>
      </c>
      <c r="H8" t="s">
        <v>24</v>
      </c>
      <c r="I8" t="s">
        <v>24</v>
      </c>
      <c r="J8">
        <v>6.65</v>
      </c>
      <c r="K8" s="2" t="s">
        <v>24</v>
      </c>
      <c r="L8" t="s">
        <v>24</v>
      </c>
      <c r="M8" t="s">
        <v>24</v>
      </c>
      <c r="N8" t="s">
        <v>24</v>
      </c>
      <c r="O8" t="s">
        <v>22</v>
      </c>
      <c r="P8">
        <v>0.25</v>
      </c>
      <c r="Q8" t="s">
        <v>39</v>
      </c>
      <c r="R8" s="1">
        <v>878.05</v>
      </c>
      <c r="S8" s="1">
        <v>820.56</v>
      </c>
      <c r="T8" s="1">
        <v>945.99</v>
      </c>
      <c r="U8" s="1" t="s">
        <v>24</v>
      </c>
      <c r="V8" s="1" t="s">
        <v>24</v>
      </c>
      <c r="W8" s="4" t="s">
        <v>24</v>
      </c>
      <c r="X8" s="1" t="s">
        <v>24</v>
      </c>
      <c r="Y8" s="1" t="s">
        <v>24</v>
      </c>
      <c r="Z8" s="4" t="s">
        <v>24</v>
      </c>
      <c r="AA8" s="1" t="s">
        <v>24</v>
      </c>
      <c r="AB8" s="1" t="s">
        <v>24</v>
      </c>
      <c r="AC8" s="4" t="s">
        <v>24</v>
      </c>
      <c r="AD8" t="s">
        <v>25</v>
      </c>
    </row>
    <row r="9" spans="1:30" hidden="1" x14ac:dyDescent="0.35">
      <c r="A9" t="s">
        <v>33</v>
      </c>
      <c r="B9" t="s">
        <v>21</v>
      </c>
      <c r="C9" t="s">
        <v>28</v>
      </c>
      <c r="D9">
        <v>0.2</v>
      </c>
      <c r="E9">
        <v>6</v>
      </c>
      <c r="F9" t="s">
        <v>22</v>
      </c>
      <c r="G9" t="s">
        <v>23</v>
      </c>
      <c r="H9" t="s">
        <v>24</v>
      </c>
      <c r="I9" t="s">
        <v>24</v>
      </c>
      <c r="J9">
        <v>6.65</v>
      </c>
      <c r="K9" s="2" t="s">
        <v>24</v>
      </c>
      <c r="L9" t="s">
        <v>24</v>
      </c>
      <c r="M9" t="s">
        <v>24</v>
      </c>
      <c r="N9" t="s">
        <v>24</v>
      </c>
      <c r="O9" t="s">
        <v>22</v>
      </c>
      <c r="P9">
        <v>0.5</v>
      </c>
      <c r="Q9" t="s">
        <v>39</v>
      </c>
      <c r="R9" s="1">
        <v>318.81</v>
      </c>
      <c r="S9" s="1">
        <v>57.49</v>
      </c>
      <c r="T9" s="1">
        <v>580.14</v>
      </c>
      <c r="U9" s="1" t="s">
        <v>24</v>
      </c>
      <c r="V9" s="1" t="s">
        <v>24</v>
      </c>
      <c r="W9" s="4" t="s">
        <v>24</v>
      </c>
      <c r="X9" s="1" t="s">
        <v>24</v>
      </c>
      <c r="Y9" s="1" t="s">
        <v>24</v>
      </c>
      <c r="Z9" s="4" t="s">
        <v>24</v>
      </c>
      <c r="AA9" s="1" t="s">
        <v>24</v>
      </c>
      <c r="AB9" s="1" t="s">
        <v>24</v>
      </c>
      <c r="AC9" s="4" t="s">
        <v>24</v>
      </c>
      <c r="AD9" t="s">
        <v>25</v>
      </c>
    </row>
    <row r="10" spans="1:30" hidden="1" x14ac:dyDescent="0.35">
      <c r="A10" t="s">
        <v>33</v>
      </c>
      <c r="B10" t="s">
        <v>21</v>
      </c>
      <c r="C10" t="s">
        <v>28</v>
      </c>
      <c r="D10">
        <v>0.2</v>
      </c>
      <c r="E10">
        <v>6</v>
      </c>
      <c r="F10" t="s">
        <v>22</v>
      </c>
      <c r="G10" t="s">
        <v>23</v>
      </c>
      <c r="H10" t="s">
        <v>24</v>
      </c>
      <c r="I10" t="s">
        <v>24</v>
      </c>
      <c r="J10">
        <v>6.65</v>
      </c>
      <c r="K10" s="2" t="s">
        <v>24</v>
      </c>
      <c r="L10" t="s">
        <v>24</v>
      </c>
      <c r="M10" t="s">
        <v>24</v>
      </c>
      <c r="N10" t="s">
        <v>24</v>
      </c>
      <c r="O10" t="s">
        <v>22</v>
      </c>
      <c r="P10">
        <v>0.75</v>
      </c>
      <c r="Q10" t="s">
        <v>39</v>
      </c>
      <c r="R10" s="1">
        <v>214.29</v>
      </c>
      <c r="S10" s="1">
        <v>141.11000000000001</v>
      </c>
      <c r="T10" s="1">
        <v>261.32</v>
      </c>
      <c r="U10" s="1" t="s">
        <v>24</v>
      </c>
      <c r="V10" s="1" t="s">
        <v>24</v>
      </c>
      <c r="W10" s="4" t="s">
        <v>24</v>
      </c>
      <c r="X10" s="1" t="s">
        <v>24</v>
      </c>
      <c r="Y10" s="1" t="s">
        <v>24</v>
      </c>
      <c r="Z10" s="4" t="s">
        <v>24</v>
      </c>
      <c r="AA10" s="1" t="s">
        <v>24</v>
      </c>
      <c r="AB10" s="1" t="s">
        <v>24</v>
      </c>
      <c r="AC10" s="4" t="s">
        <v>24</v>
      </c>
      <c r="AD10" t="s">
        <v>25</v>
      </c>
    </row>
    <row r="11" spans="1:30" hidden="1" x14ac:dyDescent="0.35">
      <c r="A11" t="s">
        <v>33</v>
      </c>
      <c r="B11" t="s">
        <v>21</v>
      </c>
      <c r="C11" t="s">
        <v>28</v>
      </c>
      <c r="D11">
        <v>0.2</v>
      </c>
      <c r="E11">
        <v>6</v>
      </c>
      <c r="F11" t="s">
        <v>22</v>
      </c>
      <c r="G11" t="s">
        <v>23</v>
      </c>
      <c r="H11" t="s">
        <v>24</v>
      </c>
      <c r="I11" t="s">
        <v>24</v>
      </c>
      <c r="J11">
        <v>6.65</v>
      </c>
      <c r="K11" s="2" t="s">
        <v>24</v>
      </c>
      <c r="L11" t="s">
        <v>24</v>
      </c>
      <c r="M11" t="s">
        <v>24</v>
      </c>
      <c r="N11" t="s">
        <v>24</v>
      </c>
      <c r="O11" t="s">
        <v>22</v>
      </c>
      <c r="P11">
        <v>1</v>
      </c>
      <c r="Q11" t="s">
        <v>39</v>
      </c>
      <c r="R11" s="1">
        <v>254.77</v>
      </c>
      <c r="S11" s="1">
        <v>166.38</v>
      </c>
      <c r="T11" s="1">
        <v>332.76</v>
      </c>
      <c r="U11" s="1" t="s">
        <v>24</v>
      </c>
      <c r="V11" s="1" t="s">
        <v>24</v>
      </c>
      <c r="W11" s="4" t="s">
        <v>24</v>
      </c>
      <c r="X11" s="1" t="s">
        <v>24</v>
      </c>
      <c r="Y11" s="1" t="s">
        <v>24</v>
      </c>
      <c r="Z11" s="4" t="s">
        <v>24</v>
      </c>
      <c r="AA11" s="1" t="s">
        <v>24</v>
      </c>
      <c r="AB11" s="1" t="s">
        <v>24</v>
      </c>
      <c r="AC11" s="4" t="s">
        <v>24</v>
      </c>
      <c r="AD11" t="s">
        <v>25</v>
      </c>
    </row>
    <row r="12" spans="1:30" hidden="1" x14ac:dyDescent="0.35">
      <c r="A12" t="s">
        <v>33</v>
      </c>
      <c r="B12" t="s">
        <v>21</v>
      </c>
      <c r="C12" t="s">
        <v>28</v>
      </c>
      <c r="D12">
        <v>0.2</v>
      </c>
      <c r="E12">
        <v>6</v>
      </c>
      <c r="F12" t="s">
        <v>22</v>
      </c>
      <c r="G12" t="s">
        <v>23</v>
      </c>
      <c r="H12" t="s">
        <v>24</v>
      </c>
      <c r="I12" t="s">
        <v>24</v>
      </c>
      <c r="J12">
        <v>6.65</v>
      </c>
      <c r="K12" s="2" t="s">
        <v>24</v>
      </c>
      <c r="L12" t="s">
        <v>24</v>
      </c>
      <c r="M12" t="s">
        <v>24</v>
      </c>
      <c r="N12" t="s">
        <v>24</v>
      </c>
      <c r="O12" t="s">
        <v>22</v>
      </c>
      <c r="P12">
        <v>2</v>
      </c>
      <c r="Q12" t="s">
        <v>39</v>
      </c>
      <c r="R12" s="1">
        <v>254.77</v>
      </c>
      <c r="S12" s="1">
        <v>176.78</v>
      </c>
      <c r="T12" s="1">
        <v>322.36</v>
      </c>
      <c r="U12" s="1" t="s">
        <v>24</v>
      </c>
      <c r="V12" s="1" t="s">
        <v>24</v>
      </c>
      <c r="W12" s="4" t="s">
        <v>24</v>
      </c>
      <c r="X12" s="1" t="s">
        <v>24</v>
      </c>
      <c r="Y12" s="1" t="s">
        <v>24</v>
      </c>
      <c r="Z12" s="4" t="s">
        <v>24</v>
      </c>
      <c r="AA12" s="1" t="s">
        <v>24</v>
      </c>
      <c r="AB12" s="1" t="s">
        <v>24</v>
      </c>
      <c r="AC12" s="4" t="s">
        <v>24</v>
      </c>
      <c r="AD12" t="s">
        <v>25</v>
      </c>
    </row>
    <row r="13" spans="1:30" hidden="1" x14ac:dyDescent="0.35">
      <c r="A13" t="s">
        <v>33</v>
      </c>
      <c r="B13" t="s">
        <v>21</v>
      </c>
      <c r="C13" t="s">
        <v>28</v>
      </c>
      <c r="D13">
        <v>0.2</v>
      </c>
      <c r="E13">
        <v>6</v>
      </c>
      <c r="F13" t="s">
        <v>22</v>
      </c>
      <c r="G13" t="s">
        <v>23</v>
      </c>
      <c r="H13" t="s">
        <v>24</v>
      </c>
      <c r="I13" t="s">
        <v>24</v>
      </c>
      <c r="J13">
        <v>6.65</v>
      </c>
      <c r="K13" s="2" t="s">
        <v>24</v>
      </c>
      <c r="L13" t="s">
        <v>24</v>
      </c>
      <c r="M13" t="s">
        <v>24</v>
      </c>
      <c r="N13" t="s">
        <v>24</v>
      </c>
      <c r="O13" t="s">
        <v>22</v>
      </c>
      <c r="P13">
        <v>4</v>
      </c>
      <c r="Q13" t="s">
        <v>39</v>
      </c>
      <c r="R13" s="1">
        <v>124.78</v>
      </c>
      <c r="S13" s="1">
        <v>124.78</v>
      </c>
      <c r="T13" s="1">
        <v>124.78</v>
      </c>
      <c r="U13" s="1" t="s">
        <v>24</v>
      </c>
      <c r="V13" s="1" t="s">
        <v>24</v>
      </c>
      <c r="W13" s="4" t="s">
        <v>24</v>
      </c>
      <c r="X13" s="1" t="s">
        <v>24</v>
      </c>
      <c r="Y13" s="1" t="s">
        <v>24</v>
      </c>
      <c r="Z13" s="4" t="s">
        <v>24</v>
      </c>
      <c r="AA13" s="1" t="s">
        <v>24</v>
      </c>
      <c r="AB13" s="1" t="s">
        <v>24</v>
      </c>
      <c r="AC13" s="4" t="s">
        <v>24</v>
      </c>
      <c r="AD13" t="s">
        <v>25</v>
      </c>
    </row>
    <row r="14" spans="1:30" hidden="1" x14ac:dyDescent="0.35">
      <c r="A14" t="s">
        <v>33</v>
      </c>
      <c r="B14" t="s">
        <v>21</v>
      </c>
      <c r="C14" t="s">
        <v>28</v>
      </c>
      <c r="D14">
        <v>0.2</v>
      </c>
      <c r="E14">
        <v>6</v>
      </c>
      <c r="F14" t="s">
        <v>22</v>
      </c>
      <c r="G14" t="s">
        <v>23</v>
      </c>
      <c r="H14" t="s">
        <v>24</v>
      </c>
      <c r="I14" t="s">
        <v>24</v>
      </c>
      <c r="J14">
        <v>6.65</v>
      </c>
      <c r="K14" s="2" t="s">
        <v>24</v>
      </c>
      <c r="L14" t="s">
        <v>24</v>
      </c>
      <c r="M14" t="s">
        <v>24</v>
      </c>
      <c r="N14" t="s">
        <v>24</v>
      </c>
      <c r="O14" t="s">
        <v>22</v>
      </c>
      <c r="P14">
        <v>6</v>
      </c>
      <c r="Q14" t="s">
        <v>39</v>
      </c>
      <c r="R14" s="1">
        <v>83.19</v>
      </c>
      <c r="S14" s="1">
        <v>83.19</v>
      </c>
      <c r="T14" s="1">
        <v>83.19</v>
      </c>
      <c r="U14" s="1" t="s">
        <v>24</v>
      </c>
      <c r="V14" s="1" t="s">
        <v>24</v>
      </c>
      <c r="W14" s="4" t="s">
        <v>24</v>
      </c>
      <c r="X14" s="1" t="s">
        <v>24</v>
      </c>
      <c r="Y14" s="1" t="s">
        <v>24</v>
      </c>
      <c r="Z14" s="4" t="s">
        <v>24</v>
      </c>
      <c r="AA14" s="1" t="s">
        <v>24</v>
      </c>
      <c r="AB14" s="1" t="s">
        <v>24</v>
      </c>
      <c r="AC14" s="4" t="s">
        <v>24</v>
      </c>
      <c r="AD14" t="s">
        <v>25</v>
      </c>
    </row>
    <row r="15" spans="1:30" hidden="1" x14ac:dyDescent="0.35">
      <c r="A15" t="s">
        <v>33</v>
      </c>
      <c r="B15" t="s">
        <v>21</v>
      </c>
      <c r="C15" t="s">
        <v>28</v>
      </c>
      <c r="D15">
        <v>0.2</v>
      </c>
      <c r="E15">
        <v>6</v>
      </c>
      <c r="F15" t="s">
        <v>22</v>
      </c>
      <c r="G15" t="s">
        <v>23</v>
      </c>
      <c r="H15" t="s">
        <v>24</v>
      </c>
      <c r="I15" t="s">
        <v>24</v>
      </c>
      <c r="J15">
        <v>6.65</v>
      </c>
      <c r="K15" s="2" t="s">
        <v>24</v>
      </c>
      <c r="L15" t="s">
        <v>24</v>
      </c>
      <c r="M15" t="s">
        <v>24</v>
      </c>
      <c r="N15" t="s">
        <v>24</v>
      </c>
      <c r="O15" t="s">
        <v>22</v>
      </c>
      <c r="P15">
        <v>8</v>
      </c>
      <c r="Q15" t="s">
        <v>39</v>
      </c>
      <c r="R15" s="1">
        <v>57.19</v>
      </c>
      <c r="S15" s="1">
        <v>57.19</v>
      </c>
      <c r="T15" s="1">
        <v>57.19</v>
      </c>
      <c r="U15" s="1" t="s">
        <v>24</v>
      </c>
      <c r="V15" s="1" t="s">
        <v>24</v>
      </c>
      <c r="W15" s="4" t="s">
        <v>24</v>
      </c>
      <c r="X15" s="1" t="s">
        <v>24</v>
      </c>
      <c r="Y15" s="1" t="s">
        <v>24</v>
      </c>
      <c r="Z15" s="4" t="s">
        <v>24</v>
      </c>
      <c r="AA15" s="1" t="s">
        <v>24</v>
      </c>
      <c r="AB15" s="1" t="s">
        <v>24</v>
      </c>
      <c r="AC15" s="4" t="s">
        <v>24</v>
      </c>
      <c r="AD15" t="s">
        <v>25</v>
      </c>
    </row>
    <row r="16" spans="1:30" hidden="1" x14ac:dyDescent="0.35">
      <c r="A16" t="s">
        <v>33</v>
      </c>
      <c r="B16" t="s">
        <v>21</v>
      </c>
      <c r="C16" t="s">
        <v>28</v>
      </c>
      <c r="D16">
        <v>0.2</v>
      </c>
      <c r="E16">
        <v>6</v>
      </c>
      <c r="F16" t="s">
        <v>22</v>
      </c>
      <c r="G16" t="s">
        <v>29</v>
      </c>
      <c r="H16" t="s">
        <v>40</v>
      </c>
      <c r="I16">
        <v>6.65</v>
      </c>
      <c r="J16" t="s">
        <v>24</v>
      </c>
      <c r="K16" s="2" t="s">
        <v>24</v>
      </c>
      <c r="L16" t="s">
        <v>24</v>
      </c>
      <c r="M16" t="s">
        <v>34</v>
      </c>
      <c r="N16">
        <v>354.83</v>
      </c>
      <c r="O16" t="s">
        <v>22</v>
      </c>
      <c r="P16" t="s">
        <v>24</v>
      </c>
      <c r="Q16" t="s">
        <v>24</v>
      </c>
      <c r="R16" s="1" t="s">
        <v>24</v>
      </c>
      <c r="S16" s="1" t="s">
        <v>24</v>
      </c>
      <c r="T16" s="1" t="s">
        <v>24</v>
      </c>
      <c r="U16" s="1" t="s">
        <v>24</v>
      </c>
      <c r="V16" s="1" t="s">
        <v>24</v>
      </c>
      <c r="W16" s="4" t="s">
        <v>24</v>
      </c>
      <c r="X16" s="1" t="s">
        <v>24</v>
      </c>
      <c r="Y16" s="1" t="s">
        <v>24</v>
      </c>
      <c r="Z16" s="4" t="s">
        <v>24</v>
      </c>
      <c r="AA16" s="1" t="s">
        <v>24</v>
      </c>
      <c r="AB16" s="1" t="s">
        <v>24</v>
      </c>
      <c r="AC16" s="4" t="s">
        <v>24</v>
      </c>
      <c r="AD16" t="s">
        <v>35</v>
      </c>
    </row>
    <row r="17" spans="1:30" hidden="1" x14ac:dyDescent="0.35">
      <c r="A17" t="s">
        <v>33</v>
      </c>
      <c r="B17" t="s">
        <v>21</v>
      </c>
      <c r="C17" t="s">
        <v>28</v>
      </c>
      <c r="D17">
        <v>0.2</v>
      </c>
      <c r="E17">
        <v>6</v>
      </c>
      <c r="F17" t="s">
        <v>22</v>
      </c>
      <c r="G17" t="s">
        <v>29</v>
      </c>
      <c r="H17" t="s">
        <v>40</v>
      </c>
      <c r="I17">
        <v>6.65</v>
      </c>
      <c r="J17" t="s">
        <v>24</v>
      </c>
      <c r="K17" s="2" t="s">
        <v>24</v>
      </c>
      <c r="L17" t="s">
        <v>24</v>
      </c>
      <c r="M17" t="s">
        <v>36</v>
      </c>
      <c r="N17">
        <v>0.5</v>
      </c>
      <c r="O17" t="s">
        <v>22</v>
      </c>
      <c r="P17" t="s">
        <v>24</v>
      </c>
      <c r="Q17" t="s">
        <v>24</v>
      </c>
      <c r="R17" s="1" t="s">
        <v>24</v>
      </c>
      <c r="S17" s="1" t="s">
        <v>24</v>
      </c>
      <c r="T17" s="1" t="s">
        <v>24</v>
      </c>
      <c r="U17" s="1" t="s">
        <v>24</v>
      </c>
      <c r="V17" s="1" t="s">
        <v>24</v>
      </c>
      <c r="W17" s="4" t="s">
        <v>24</v>
      </c>
      <c r="X17" s="1" t="s">
        <v>24</v>
      </c>
      <c r="Y17" s="1" t="s">
        <v>24</v>
      </c>
      <c r="Z17" s="4" t="s">
        <v>24</v>
      </c>
      <c r="AA17" s="1" t="s">
        <v>24</v>
      </c>
      <c r="AB17" s="1" t="s">
        <v>24</v>
      </c>
      <c r="AC17" s="4" t="s">
        <v>24</v>
      </c>
      <c r="AD17" t="s">
        <v>37</v>
      </c>
    </row>
    <row r="18" spans="1:30" hidden="1" x14ac:dyDescent="0.35">
      <c r="A18" t="s">
        <v>33</v>
      </c>
      <c r="B18" t="s">
        <v>21</v>
      </c>
      <c r="C18" t="s">
        <v>28</v>
      </c>
      <c r="D18">
        <v>0.2</v>
      </c>
      <c r="E18">
        <v>6</v>
      </c>
      <c r="F18" t="s">
        <v>22</v>
      </c>
      <c r="G18" t="s">
        <v>29</v>
      </c>
      <c r="H18" t="s">
        <v>40</v>
      </c>
      <c r="I18">
        <v>6.65</v>
      </c>
      <c r="J18" t="s">
        <v>24</v>
      </c>
      <c r="K18" s="2" t="s">
        <v>24</v>
      </c>
      <c r="L18" t="s">
        <v>24</v>
      </c>
      <c r="M18" t="s">
        <v>38</v>
      </c>
      <c r="N18">
        <v>2.5299999999999998</v>
      </c>
      <c r="O18" t="s">
        <v>22</v>
      </c>
      <c r="P18" t="s">
        <v>24</v>
      </c>
      <c r="Q18" t="s">
        <v>24</v>
      </c>
      <c r="R18" s="1" t="s">
        <v>24</v>
      </c>
      <c r="S18" s="1" t="s">
        <v>24</v>
      </c>
      <c r="T18" s="1" t="s">
        <v>24</v>
      </c>
      <c r="U18" s="1" t="s">
        <v>24</v>
      </c>
      <c r="V18" s="1" t="s">
        <v>24</v>
      </c>
      <c r="W18" s="4" t="s">
        <v>24</v>
      </c>
      <c r="X18" s="1" t="s">
        <v>24</v>
      </c>
      <c r="Y18" s="1" t="s">
        <v>24</v>
      </c>
      <c r="Z18" s="4" t="s">
        <v>24</v>
      </c>
      <c r="AA18" s="1" t="s">
        <v>24</v>
      </c>
      <c r="AB18" s="1" t="s">
        <v>24</v>
      </c>
      <c r="AC18" s="4" t="s">
        <v>24</v>
      </c>
      <c r="AD18" t="s">
        <v>37</v>
      </c>
    </row>
    <row r="19" spans="1:30" hidden="1" x14ac:dyDescent="0.35">
      <c r="A19" t="s">
        <v>33</v>
      </c>
      <c r="B19" t="s">
        <v>21</v>
      </c>
      <c r="C19" t="s">
        <v>28</v>
      </c>
      <c r="D19">
        <v>0.2</v>
      </c>
      <c r="E19">
        <v>6</v>
      </c>
      <c r="F19" t="s">
        <v>22</v>
      </c>
      <c r="G19" t="s">
        <v>29</v>
      </c>
      <c r="H19" t="s">
        <v>40</v>
      </c>
      <c r="I19">
        <v>6.65</v>
      </c>
      <c r="J19" t="s">
        <v>24</v>
      </c>
      <c r="K19" s="2" t="s">
        <v>24</v>
      </c>
      <c r="L19" t="s">
        <v>24</v>
      </c>
      <c r="M19" t="s">
        <v>20</v>
      </c>
      <c r="N19">
        <v>51.9</v>
      </c>
      <c r="O19" t="s">
        <v>22</v>
      </c>
      <c r="P19" t="s">
        <v>24</v>
      </c>
      <c r="Q19" t="s">
        <v>24</v>
      </c>
      <c r="R19" s="1" t="s">
        <v>24</v>
      </c>
      <c r="S19" s="1" t="s">
        <v>24</v>
      </c>
      <c r="T19" s="1" t="s">
        <v>24</v>
      </c>
      <c r="U19" s="1" t="s">
        <v>24</v>
      </c>
      <c r="V19" s="1" t="s">
        <v>24</v>
      </c>
      <c r="W19" s="4" t="s">
        <v>24</v>
      </c>
      <c r="X19" s="1" t="s">
        <v>24</v>
      </c>
      <c r="Y19" s="1" t="s">
        <v>24</v>
      </c>
      <c r="Z19" s="4" t="s">
        <v>24</v>
      </c>
      <c r="AA19" s="1" t="s">
        <v>24</v>
      </c>
      <c r="AB19" s="1" t="s">
        <v>24</v>
      </c>
      <c r="AC19" s="4" t="s">
        <v>24</v>
      </c>
      <c r="AD19" t="s">
        <v>25</v>
      </c>
    </row>
    <row r="20" spans="1:30" hidden="1" x14ac:dyDescent="0.35">
      <c r="A20" t="s">
        <v>33</v>
      </c>
      <c r="B20" t="s">
        <v>21</v>
      </c>
      <c r="C20" t="s">
        <v>28</v>
      </c>
      <c r="D20">
        <v>0.2</v>
      </c>
      <c r="E20">
        <v>6</v>
      </c>
      <c r="F20" t="s">
        <v>22</v>
      </c>
      <c r="G20" t="s">
        <v>29</v>
      </c>
      <c r="H20" t="s">
        <v>40</v>
      </c>
      <c r="I20">
        <v>6.65</v>
      </c>
      <c r="J20" t="s">
        <v>24</v>
      </c>
      <c r="K20" s="2" t="s">
        <v>24</v>
      </c>
      <c r="L20" t="s">
        <v>24</v>
      </c>
      <c r="M20" t="s">
        <v>24</v>
      </c>
      <c r="N20" t="s">
        <v>24</v>
      </c>
      <c r="O20" t="s">
        <v>22</v>
      </c>
      <c r="P20">
        <v>8.3000000000000004E-2</v>
      </c>
      <c r="Q20" t="s">
        <v>39</v>
      </c>
      <c r="R20" s="1">
        <v>11.85</v>
      </c>
      <c r="S20" s="1">
        <v>7.73</v>
      </c>
      <c r="T20" s="1">
        <v>11.86</v>
      </c>
      <c r="U20" s="1" t="s">
        <v>24</v>
      </c>
      <c r="V20" s="1" t="s">
        <v>24</v>
      </c>
      <c r="W20" s="4" t="s">
        <v>24</v>
      </c>
      <c r="X20" s="1" t="s">
        <v>24</v>
      </c>
      <c r="Y20" s="1" t="s">
        <v>24</v>
      </c>
      <c r="Z20" s="4" t="s">
        <v>24</v>
      </c>
      <c r="AA20" s="1" t="s">
        <v>24</v>
      </c>
      <c r="AB20" s="1" t="s">
        <v>24</v>
      </c>
      <c r="AC20" s="4" t="s">
        <v>24</v>
      </c>
      <c r="AD20" t="s">
        <v>25</v>
      </c>
    </row>
    <row r="21" spans="1:30" hidden="1" x14ac:dyDescent="0.35">
      <c r="A21" t="s">
        <v>33</v>
      </c>
      <c r="B21" t="s">
        <v>21</v>
      </c>
      <c r="C21" t="s">
        <v>28</v>
      </c>
      <c r="D21">
        <v>0.2</v>
      </c>
      <c r="E21">
        <v>6</v>
      </c>
      <c r="F21" t="s">
        <v>22</v>
      </c>
      <c r="G21" t="s">
        <v>29</v>
      </c>
      <c r="H21" t="s">
        <v>40</v>
      </c>
      <c r="I21">
        <v>6.65</v>
      </c>
      <c r="J21" t="s">
        <v>24</v>
      </c>
      <c r="K21" s="2" t="s">
        <v>24</v>
      </c>
      <c r="L21" t="s">
        <v>24</v>
      </c>
      <c r="M21" t="s">
        <v>24</v>
      </c>
      <c r="N21" t="s">
        <v>24</v>
      </c>
      <c r="O21" t="s">
        <v>22</v>
      </c>
      <c r="P21">
        <v>0.16</v>
      </c>
      <c r="Q21" t="s">
        <v>39</v>
      </c>
      <c r="R21" s="1">
        <v>11.08</v>
      </c>
      <c r="S21" s="1">
        <v>11.08</v>
      </c>
      <c r="T21" s="1">
        <v>11.08</v>
      </c>
      <c r="U21" s="1" t="s">
        <v>24</v>
      </c>
      <c r="V21" s="1" t="s">
        <v>24</v>
      </c>
      <c r="W21" s="4" t="s">
        <v>24</v>
      </c>
      <c r="X21" s="1" t="s">
        <v>24</v>
      </c>
      <c r="Y21" s="1" t="s">
        <v>24</v>
      </c>
      <c r="Z21" s="4" t="s">
        <v>24</v>
      </c>
      <c r="AA21" s="1" t="s">
        <v>24</v>
      </c>
      <c r="AB21" s="1" t="s">
        <v>24</v>
      </c>
      <c r="AC21" s="4" t="s">
        <v>24</v>
      </c>
      <c r="AD21" t="s">
        <v>25</v>
      </c>
    </row>
    <row r="22" spans="1:30" hidden="1" x14ac:dyDescent="0.35">
      <c r="A22" t="s">
        <v>33</v>
      </c>
      <c r="B22" t="s">
        <v>21</v>
      </c>
      <c r="C22" t="s">
        <v>28</v>
      </c>
      <c r="D22">
        <v>0.2</v>
      </c>
      <c r="E22">
        <v>6</v>
      </c>
      <c r="F22" t="s">
        <v>22</v>
      </c>
      <c r="G22" t="s">
        <v>29</v>
      </c>
      <c r="H22" t="s">
        <v>40</v>
      </c>
      <c r="I22">
        <v>6.65</v>
      </c>
      <c r="J22" t="s">
        <v>24</v>
      </c>
      <c r="K22" s="2" t="s">
        <v>24</v>
      </c>
      <c r="L22" t="s">
        <v>24</v>
      </c>
      <c r="M22" t="s">
        <v>24</v>
      </c>
      <c r="N22" t="s">
        <v>24</v>
      </c>
      <c r="O22" t="s">
        <v>22</v>
      </c>
      <c r="P22">
        <v>0.25</v>
      </c>
      <c r="Q22" t="s">
        <v>39</v>
      </c>
      <c r="R22" s="1">
        <v>3.86</v>
      </c>
      <c r="S22" s="1">
        <v>3.86</v>
      </c>
      <c r="T22" s="1">
        <v>3.86</v>
      </c>
      <c r="U22" s="1" t="s">
        <v>24</v>
      </c>
      <c r="V22" s="1" t="s">
        <v>24</v>
      </c>
      <c r="W22" s="4" t="s">
        <v>24</v>
      </c>
      <c r="X22" s="1" t="s">
        <v>24</v>
      </c>
      <c r="Y22" s="1" t="s">
        <v>24</v>
      </c>
      <c r="Z22" s="4" t="s">
        <v>24</v>
      </c>
      <c r="AA22" s="1" t="s">
        <v>24</v>
      </c>
      <c r="AB22" s="1" t="s">
        <v>24</v>
      </c>
      <c r="AC22" s="4" t="s">
        <v>24</v>
      </c>
      <c r="AD22" t="s">
        <v>25</v>
      </c>
    </row>
    <row r="23" spans="1:30" hidden="1" x14ac:dyDescent="0.35">
      <c r="A23" t="s">
        <v>33</v>
      </c>
      <c r="B23" t="s">
        <v>21</v>
      </c>
      <c r="C23" t="s">
        <v>28</v>
      </c>
      <c r="D23">
        <v>0.2</v>
      </c>
      <c r="E23">
        <v>6</v>
      </c>
      <c r="F23" t="s">
        <v>22</v>
      </c>
      <c r="G23" t="s">
        <v>29</v>
      </c>
      <c r="H23" t="s">
        <v>40</v>
      </c>
      <c r="I23">
        <v>6.65</v>
      </c>
      <c r="J23" t="s">
        <v>24</v>
      </c>
      <c r="K23" s="2" t="s">
        <v>24</v>
      </c>
      <c r="L23" t="s">
        <v>24</v>
      </c>
      <c r="M23" t="s">
        <v>24</v>
      </c>
      <c r="N23" t="s">
        <v>24</v>
      </c>
      <c r="O23" t="s">
        <v>22</v>
      </c>
      <c r="P23">
        <v>0.5</v>
      </c>
      <c r="Q23" t="s">
        <v>39</v>
      </c>
      <c r="R23" s="1">
        <v>9.7899999999999991</v>
      </c>
      <c r="S23" s="1">
        <v>9.7899999999999991</v>
      </c>
      <c r="T23" s="1">
        <v>9.7899999999999991</v>
      </c>
      <c r="U23" s="1" t="s">
        <v>24</v>
      </c>
      <c r="V23" s="1" t="s">
        <v>24</v>
      </c>
      <c r="W23" s="4" t="s">
        <v>24</v>
      </c>
      <c r="X23" s="1" t="s">
        <v>24</v>
      </c>
      <c r="Y23" s="1" t="s">
        <v>24</v>
      </c>
      <c r="Z23" s="4" t="s">
        <v>24</v>
      </c>
      <c r="AA23" s="1" t="s">
        <v>24</v>
      </c>
      <c r="AB23" s="1" t="s">
        <v>24</v>
      </c>
      <c r="AC23" s="4" t="s">
        <v>24</v>
      </c>
      <c r="AD23" t="s">
        <v>25</v>
      </c>
    </row>
    <row r="24" spans="1:30" hidden="1" x14ac:dyDescent="0.35">
      <c r="A24" t="s">
        <v>33</v>
      </c>
      <c r="B24" t="s">
        <v>21</v>
      </c>
      <c r="C24" t="s">
        <v>28</v>
      </c>
      <c r="D24">
        <v>0.2</v>
      </c>
      <c r="E24">
        <v>6</v>
      </c>
      <c r="F24" t="s">
        <v>22</v>
      </c>
      <c r="G24" t="s">
        <v>29</v>
      </c>
      <c r="H24" t="s">
        <v>40</v>
      </c>
      <c r="I24">
        <v>6.65</v>
      </c>
      <c r="J24" t="s">
        <v>24</v>
      </c>
      <c r="K24" s="2" t="s">
        <v>24</v>
      </c>
      <c r="L24" t="s">
        <v>24</v>
      </c>
      <c r="M24" t="s">
        <v>24</v>
      </c>
      <c r="N24" t="s">
        <v>24</v>
      </c>
      <c r="O24" t="s">
        <v>22</v>
      </c>
      <c r="P24">
        <v>0.75</v>
      </c>
      <c r="Q24" t="s">
        <v>39</v>
      </c>
      <c r="R24" s="1">
        <v>81.63</v>
      </c>
      <c r="S24" s="1">
        <v>50.78</v>
      </c>
      <c r="T24" s="1">
        <v>114.17</v>
      </c>
      <c r="U24" s="1" t="s">
        <v>24</v>
      </c>
      <c r="V24" s="1" t="s">
        <v>24</v>
      </c>
      <c r="W24" s="4" t="s">
        <v>24</v>
      </c>
      <c r="X24" s="1" t="s">
        <v>24</v>
      </c>
      <c r="Y24" s="1" t="s">
        <v>24</v>
      </c>
      <c r="Z24" s="4" t="s">
        <v>24</v>
      </c>
      <c r="AA24" s="1" t="s">
        <v>24</v>
      </c>
      <c r="AB24" s="1" t="s">
        <v>24</v>
      </c>
      <c r="AC24" s="4" t="s">
        <v>24</v>
      </c>
      <c r="AD24" t="s">
        <v>25</v>
      </c>
    </row>
    <row r="25" spans="1:30" hidden="1" x14ac:dyDescent="0.35">
      <c r="A25" t="s">
        <v>33</v>
      </c>
      <c r="B25" t="s">
        <v>21</v>
      </c>
      <c r="C25" t="s">
        <v>28</v>
      </c>
      <c r="D25">
        <v>0.2</v>
      </c>
      <c r="E25">
        <v>6</v>
      </c>
      <c r="F25" t="s">
        <v>22</v>
      </c>
      <c r="G25" t="s">
        <v>29</v>
      </c>
      <c r="H25" t="s">
        <v>40</v>
      </c>
      <c r="I25">
        <v>6.65</v>
      </c>
      <c r="J25" t="s">
        <v>24</v>
      </c>
      <c r="K25" s="2" t="s">
        <v>24</v>
      </c>
      <c r="L25" t="s">
        <v>24</v>
      </c>
      <c r="M25" t="s">
        <v>24</v>
      </c>
      <c r="N25" t="s">
        <v>24</v>
      </c>
      <c r="O25" t="s">
        <v>22</v>
      </c>
      <c r="P25">
        <v>1</v>
      </c>
      <c r="Q25" t="s">
        <v>39</v>
      </c>
      <c r="R25" s="1">
        <v>20.62</v>
      </c>
      <c r="S25" s="1">
        <v>10.82</v>
      </c>
      <c r="T25" s="1">
        <v>22.94</v>
      </c>
      <c r="U25" s="1" t="s">
        <v>24</v>
      </c>
      <c r="V25" s="1" t="s">
        <v>24</v>
      </c>
      <c r="W25" s="4" t="s">
        <v>24</v>
      </c>
      <c r="X25" s="1" t="s">
        <v>24</v>
      </c>
      <c r="Y25" s="1" t="s">
        <v>24</v>
      </c>
      <c r="Z25" s="4" t="s">
        <v>24</v>
      </c>
      <c r="AA25" s="1" t="s">
        <v>24</v>
      </c>
      <c r="AB25" s="1" t="s">
        <v>24</v>
      </c>
      <c r="AC25" s="4" t="s">
        <v>24</v>
      </c>
      <c r="AD25" t="s">
        <v>25</v>
      </c>
    </row>
    <row r="26" spans="1:30" hidden="1" x14ac:dyDescent="0.35">
      <c r="A26" t="s">
        <v>33</v>
      </c>
      <c r="B26" t="s">
        <v>21</v>
      </c>
      <c r="C26" t="s">
        <v>28</v>
      </c>
      <c r="D26">
        <v>0.2</v>
      </c>
      <c r="E26">
        <v>6</v>
      </c>
      <c r="F26" t="s">
        <v>22</v>
      </c>
      <c r="G26" t="s">
        <v>29</v>
      </c>
      <c r="H26" t="s">
        <v>40</v>
      </c>
      <c r="I26">
        <v>6.65</v>
      </c>
      <c r="J26" t="s">
        <v>24</v>
      </c>
      <c r="K26" s="2" t="s">
        <v>24</v>
      </c>
      <c r="L26" t="s">
        <v>24</v>
      </c>
      <c r="M26" t="s">
        <v>24</v>
      </c>
      <c r="N26" t="s">
        <v>24</v>
      </c>
      <c r="O26" t="s">
        <v>22</v>
      </c>
      <c r="P26">
        <v>2</v>
      </c>
      <c r="Q26" t="s">
        <v>39</v>
      </c>
      <c r="R26" s="1">
        <v>22.94</v>
      </c>
      <c r="S26" s="1">
        <v>18.04</v>
      </c>
      <c r="T26" s="1">
        <v>28.35</v>
      </c>
      <c r="U26" s="1" t="s">
        <v>24</v>
      </c>
      <c r="V26" s="1" t="s">
        <v>24</v>
      </c>
      <c r="W26" s="4" t="s">
        <v>24</v>
      </c>
      <c r="X26" s="1" t="s">
        <v>24</v>
      </c>
      <c r="Y26" s="1" t="s">
        <v>24</v>
      </c>
      <c r="Z26" s="4" t="s">
        <v>24</v>
      </c>
      <c r="AA26" s="1" t="s">
        <v>24</v>
      </c>
      <c r="AB26" s="1" t="s">
        <v>24</v>
      </c>
      <c r="AC26" s="4" t="s">
        <v>24</v>
      </c>
      <c r="AD26" t="s">
        <v>25</v>
      </c>
    </row>
    <row r="27" spans="1:30" hidden="1" x14ac:dyDescent="0.35">
      <c r="A27" t="s">
        <v>33</v>
      </c>
      <c r="B27" t="s">
        <v>21</v>
      </c>
      <c r="C27" t="s">
        <v>28</v>
      </c>
      <c r="D27">
        <v>0.2</v>
      </c>
      <c r="E27">
        <v>6</v>
      </c>
      <c r="F27" t="s">
        <v>22</v>
      </c>
      <c r="G27" t="s">
        <v>29</v>
      </c>
      <c r="H27" t="s">
        <v>40</v>
      </c>
      <c r="I27">
        <v>6.65</v>
      </c>
      <c r="J27" t="s">
        <v>24</v>
      </c>
      <c r="K27" s="2" t="s">
        <v>24</v>
      </c>
      <c r="L27" t="s">
        <v>24</v>
      </c>
      <c r="M27" t="s">
        <v>24</v>
      </c>
      <c r="N27" t="s">
        <v>24</v>
      </c>
      <c r="O27" t="s">
        <v>22</v>
      </c>
      <c r="P27">
        <v>4</v>
      </c>
      <c r="Q27" t="s">
        <v>39</v>
      </c>
      <c r="R27" s="1">
        <v>14.92</v>
      </c>
      <c r="S27" s="1">
        <v>10.050000000000001</v>
      </c>
      <c r="T27" s="1">
        <v>19.32</v>
      </c>
      <c r="U27" s="1" t="s">
        <v>24</v>
      </c>
      <c r="V27" s="1" t="s">
        <v>24</v>
      </c>
      <c r="W27" s="4" t="s">
        <v>24</v>
      </c>
      <c r="X27" s="1" t="s">
        <v>24</v>
      </c>
      <c r="Y27" s="1" t="s">
        <v>24</v>
      </c>
      <c r="Z27" s="4" t="s">
        <v>24</v>
      </c>
      <c r="AA27" s="1" t="s">
        <v>24</v>
      </c>
      <c r="AB27" s="1" t="s">
        <v>24</v>
      </c>
      <c r="AC27" s="4" t="s">
        <v>24</v>
      </c>
      <c r="AD27" t="s">
        <v>25</v>
      </c>
    </row>
    <row r="28" spans="1:30" hidden="1" x14ac:dyDescent="0.35">
      <c r="A28" t="s">
        <v>33</v>
      </c>
      <c r="B28" t="s">
        <v>21</v>
      </c>
      <c r="C28" t="s">
        <v>28</v>
      </c>
      <c r="D28">
        <v>0.2</v>
      </c>
      <c r="E28">
        <v>6</v>
      </c>
      <c r="F28" t="s">
        <v>22</v>
      </c>
      <c r="G28" t="s">
        <v>29</v>
      </c>
      <c r="H28" t="s">
        <v>40</v>
      </c>
      <c r="I28">
        <v>6.65</v>
      </c>
      <c r="J28" t="s">
        <v>24</v>
      </c>
      <c r="K28" s="2" t="s">
        <v>24</v>
      </c>
      <c r="L28" t="s">
        <v>24</v>
      </c>
      <c r="M28" t="s">
        <v>24</v>
      </c>
      <c r="N28" t="s">
        <v>24</v>
      </c>
      <c r="O28" t="s">
        <v>22</v>
      </c>
      <c r="P28">
        <v>6</v>
      </c>
      <c r="Q28" t="s">
        <v>39</v>
      </c>
      <c r="R28" s="1">
        <v>10.82</v>
      </c>
      <c r="S28" s="1">
        <v>10.82</v>
      </c>
      <c r="T28" s="1">
        <v>10.82</v>
      </c>
      <c r="U28" s="1" t="s">
        <v>24</v>
      </c>
      <c r="V28" s="1" t="s">
        <v>24</v>
      </c>
      <c r="W28" s="4" t="s">
        <v>24</v>
      </c>
      <c r="X28" s="1" t="s">
        <v>24</v>
      </c>
      <c r="Y28" s="1" t="s">
        <v>24</v>
      </c>
      <c r="Z28" s="4" t="s">
        <v>24</v>
      </c>
      <c r="AA28" s="1" t="s">
        <v>24</v>
      </c>
      <c r="AB28" s="1" t="s">
        <v>24</v>
      </c>
      <c r="AC28" s="4" t="s">
        <v>24</v>
      </c>
      <c r="AD28" t="s">
        <v>25</v>
      </c>
    </row>
    <row r="29" spans="1:30" hidden="1" x14ac:dyDescent="0.35">
      <c r="A29" t="s">
        <v>33</v>
      </c>
      <c r="B29" t="s">
        <v>21</v>
      </c>
      <c r="C29" t="s">
        <v>28</v>
      </c>
      <c r="D29">
        <v>0.2</v>
      </c>
      <c r="E29">
        <v>6</v>
      </c>
      <c r="F29" t="s">
        <v>22</v>
      </c>
      <c r="G29" t="s">
        <v>29</v>
      </c>
      <c r="H29" t="s">
        <v>40</v>
      </c>
      <c r="I29">
        <v>6.65</v>
      </c>
      <c r="J29" t="s">
        <v>24</v>
      </c>
      <c r="K29" s="2" t="s">
        <v>24</v>
      </c>
      <c r="L29" t="s">
        <v>24</v>
      </c>
      <c r="M29" t="s">
        <v>24</v>
      </c>
      <c r="N29" t="s">
        <v>24</v>
      </c>
      <c r="O29" t="s">
        <v>22</v>
      </c>
      <c r="P29">
        <v>8</v>
      </c>
      <c r="Q29" t="s">
        <v>39</v>
      </c>
      <c r="R29" s="1">
        <v>10.82</v>
      </c>
      <c r="S29" s="1">
        <v>10.82</v>
      </c>
      <c r="T29" s="1">
        <v>10.82</v>
      </c>
      <c r="U29" s="1" t="s">
        <v>24</v>
      </c>
      <c r="V29" s="1" t="s">
        <v>24</v>
      </c>
      <c r="W29" s="4" t="s">
        <v>24</v>
      </c>
      <c r="X29" s="1" t="s">
        <v>24</v>
      </c>
      <c r="Y29" s="1" t="s">
        <v>24</v>
      </c>
      <c r="Z29" s="4" t="s">
        <v>24</v>
      </c>
      <c r="AA29" s="1" t="s">
        <v>24</v>
      </c>
      <c r="AB29" s="1" t="s">
        <v>24</v>
      </c>
      <c r="AC29" s="4" t="s">
        <v>24</v>
      </c>
      <c r="AD29" t="s">
        <v>25</v>
      </c>
    </row>
    <row r="30" spans="1:30" hidden="1" x14ac:dyDescent="0.35">
      <c r="A30" t="s">
        <v>41</v>
      </c>
      <c r="B30" t="s">
        <v>21</v>
      </c>
      <c r="C30" t="s">
        <v>42</v>
      </c>
      <c r="D30">
        <v>0.26</v>
      </c>
      <c r="E30">
        <v>4</v>
      </c>
      <c r="F30" t="s">
        <v>22</v>
      </c>
      <c r="G30" t="s">
        <v>23</v>
      </c>
      <c r="H30" t="s">
        <v>24</v>
      </c>
      <c r="I30" t="s">
        <v>24</v>
      </c>
      <c r="J30" t="s">
        <v>24</v>
      </c>
      <c r="K30" s="2" t="s">
        <v>24</v>
      </c>
      <c r="L30" t="s">
        <v>24</v>
      </c>
      <c r="M30" t="s">
        <v>43</v>
      </c>
      <c r="N30">
        <v>2.8</v>
      </c>
      <c r="O30" t="s">
        <v>24</v>
      </c>
      <c r="P30" t="s">
        <v>24</v>
      </c>
      <c r="Q30" t="s">
        <v>24</v>
      </c>
      <c r="R30" s="1" t="s">
        <v>24</v>
      </c>
      <c r="S30" s="1" t="s">
        <v>24</v>
      </c>
      <c r="T30" s="1" t="s">
        <v>24</v>
      </c>
      <c r="U30" s="1" t="s">
        <v>24</v>
      </c>
      <c r="V30" s="1" t="s">
        <v>24</v>
      </c>
      <c r="W30" s="4" t="s">
        <v>24</v>
      </c>
      <c r="X30" s="1" t="s">
        <v>24</v>
      </c>
      <c r="Y30" s="1" t="s">
        <v>24</v>
      </c>
      <c r="Z30" s="4" t="s">
        <v>24</v>
      </c>
      <c r="AA30" s="1" t="s">
        <v>24</v>
      </c>
      <c r="AB30" s="1" t="s">
        <v>24</v>
      </c>
      <c r="AC30" s="4" t="s">
        <v>24</v>
      </c>
      <c r="AD30" t="s">
        <v>37</v>
      </c>
    </row>
    <row r="31" spans="1:30" hidden="1" x14ac:dyDescent="0.35">
      <c r="A31" t="s">
        <v>41</v>
      </c>
      <c r="B31" t="s">
        <v>21</v>
      </c>
      <c r="C31" t="s">
        <v>42</v>
      </c>
      <c r="D31">
        <v>0.26</v>
      </c>
      <c r="E31">
        <v>4</v>
      </c>
      <c r="F31" t="s">
        <v>22</v>
      </c>
      <c r="G31" t="s">
        <v>23</v>
      </c>
      <c r="H31" t="s">
        <v>24</v>
      </c>
      <c r="I31" t="s">
        <v>24</v>
      </c>
      <c r="J31" t="s">
        <v>24</v>
      </c>
      <c r="K31" s="2" t="s">
        <v>24</v>
      </c>
      <c r="L31" t="s">
        <v>24</v>
      </c>
      <c r="M31" t="s">
        <v>34</v>
      </c>
      <c r="N31">
        <v>1696</v>
      </c>
      <c r="O31" t="s">
        <v>24</v>
      </c>
      <c r="P31" t="s">
        <v>24</v>
      </c>
      <c r="Q31" t="s">
        <v>24</v>
      </c>
      <c r="R31" s="1" t="s">
        <v>24</v>
      </c>
      <c r="S31" s="1" t="s">
        <v>24</v>
      </c>
      <c r="T31" s="1" t="s">
        <v>24</v>
      </c>
      <c r="U31" s="1" t="s">
        <v>24</v>
      </c>
      <c r="V31" s="1" t="s">
        <v>24</v>
      </c>
      <c r="W31" s="4" t="s">
        <v>24</v>
      </c>
      <c r="X31" s="1" t="s">
        <v>24</v>
      </c>
      <c r="Y31" s="1" t="s">
        <v>24</v>
      </c>
      <c r="Z31" s="4" t="s">
        <v>24</v>
      </c>
      <c r="AA31" s="1" t="s">
        <v>24</v>
      </c>
      <c r="AB31" s="1" t="s">
        <v>24</v>
      </c>
      <c r="AC31" s="4" t="s">
        <v>24</v>
      </c>
      <c r="AD31" t="s">
        <v>35</v>
      </c>
    </row>
    <row r="32" spans="1:30" hidden="1" x14ac:dyDescent="0.35">
      <c r="A32" t="s">
        <v>41</v>
      </c>
      <c r="B32" t="s">
        <v>21</v>
      </c>
      <c r="C32" t="s">
        <v>42</v>
      </c>
      <c r="D32">
        <v>0.26</v>
      </c>
      <c r="E32">
        <v>4</v>
      </c>
      <c r="F32" t="s">
        <v>22</v>
      </c>
      <c r="G32" t="s">
        <v>23</v>
      </c>
      <c r="H32" t="s">
        <v>24</v>
      </c>
      <c r="I32" t="s">
        <v>24</v>
      </c>
      <c r="J32" t="s">
        <v>24</v>
      </c>
      <c r="K32" s="2" t="s">
        <v>24</v>
      </c>
      <c r="L32" t="s">
        <v>24</v>
      </c>
      <c r="M32" t="s">
        <v>44</v>
      </c>
      <c r="N32">
        <v>5</v>
      </c>
      <c r="O32" t="s">
        <v>24</v>
      </c>
      <c r="P32" t="s">
        <v>24</v>
      </c>
      <c r="Q32" t="s">
        <v>24</v>
      </c>
      <c r="R32" s="1" t="s">
        <v>24</v>
      </c>
      <c r="S32" s="1" t="s">
        <v>24</v>
      </c>
      <c r="T32" s="1" t="s">
        <v>24</v>
      </c>
      <c r="U32" s="1" t="s">
        <v>24</v>
      </c>
      <c r="V32" s="1" t="s">
        <v>24</v>
      </c>
      <c r="W32" s="4" t="s">
        <v>24</v>
      </c>
      <c r="X32" s="1" t="s">
        <v>24</v>
      </c>
      <c r="Y32" s="1" t="s">
        <v>24</v>
      </c>
      <c r="Z32" s="4" t="s">
        <v>24</v>
      </c>
      <c r="AA32" s="1" t="s">
        <v>24</v>
      </c>
      <c r="AB32" s="1" t="s">
        <v>24</v>
      </c>
      <c r="AC32" s="4" t="s">
        <v>24</v>
      </c>
      <c r="AD32" t="s">
        <v>45</v>
      </c>
    </row>
    <row r="33" spans="1:30" hidden="1" x14ac:dyDescent="0.35">
      <c r="A33" t="s">
        <v>41</v>
      </c>
      <c r="B33" t="s">
        <v>21</v>
      </c>
      <c r="C33" t="s">
        <v>42</v>
      </c>
      <c r="D33">
        <v>0.26</v>
      </c>
      <c r="E33">
        <v>4</v>
      </c>
      <c r="F33" t="s">
        <v>22</v>
      </c>
      <c r="G33" t="s">
        <v>23</v>
      </c>
      <c r="H33" t="s">
        <v>24</v>
      </c>
      <c r="I33" t="s">
        <v>24</v>
      </c>
      <c r="J33" t="s">
        <v>24</v>
      </c>
      <c r="K33" s="2" t="s">
        <v>24</v>
      </c>
      <c r="L33" t="s">
        <v>24</v>
      </c>
      <c r="M33" t="s">
        <v>46</v>
      </c>
      <c r="N33">
        <v>2</v>
      </c>
      <c r="O33" t="s">
        <v>24</v>
      </c>
      <c r="P33" t="s">
        <v>24</v>
      </c>
      <c r="Q33" t="s">
        <v>24</v>
      </c>
      <c r="R33" s="1" t="s">
        <v>24</v>
      </c>
      <c r="S33" s="1" t="s">
        <v>24</v>
      </c>
      <c r="T33" s="1" t="s">
        <v>24</v>
      </c>
      <c r="U33" s="1" t="s">
        <v>24</v>
      </c>
      <c r="V33" s="1" t="s">
        <v>24</v>
      </c>
      <c r="W33" s="4" t="s">
        <v>24</v>
      </c>
      <c r="X33" s="1" t="s">
        <v>24</v>
      </c>
      <c r="Y33" s="1" t="s">
        <v>24</v>
      </c>
      <c r="Z33" s="4" t="s">
        <v>24</v>
      </c>
      <c r="AA33" s="1" t="s">
        <v>24</v>
      </c>
      <c r="AB33" s="1" t="s">
        <v>24</v>
      </c>
      <c r="AC33" s="4" t="s">
        <v>24</v>
      </c>
      <c r="AD33" t="s">
        <v>47</v>
      </c>
    </row>
    <row r="34" spans="1:30" hidden="1" x14ac:dyDescent="0.35">
      <c r="A34" t="s">
        <v>41</v>
      </c>
      <c r="B34" t="s">
        <v>21</v>
      </c>
      <c r="C34" t="s">
        <v>42</v>
      </c>
      <c r="D34">
        <v>0.26</v>
      </c>
      <c r="E34">
        <v>4</v>
      </c>
      <c r="F34" t="s">
        <v>22</v>
      </c>
      <c r="G34" t="s">
        <v>23</v>
      </c>
      <c r="H34" t="s">
        <v>24</v>
      </c>
      <c r="I34" t="s">
        <v>24</v>
      </c>
      <c r="J34" t="s">
        <v>24</v>
      </c>
      <c r="K34" s="2" t="s">
        <v>24</v>
      </c>
      <c r="L34" t="s">
        <v>24</v>
      </c>
      <c r="M34" t="s">
        <v>48</v>
      </c>
      <c r="N34">
        <v>0.5</v>
      </c>
      <c r="O34" t="s">
        <v>24</v>
      </c>
      <c r="P34" t="s">
        <v>24</v>
      </c>
      <c r="Q34" t="s">
        <v>24</v>
      </c>
      <c r="R34" s="1" t="s">
        <v>24</v>
      </c>
      <c r="S34" s="1" t="s">
        <v>24</v>
      </c>
      <c r="T34" s="1" t="s">
        <v>24</v>
      </c>
      <c r="U34" s="1" t="s">
        <v>24</v>
      </c>
      <c r="V34" s="1" t="s">
        <v>24</v>
      </c>
      <c r="W34" s="4" t="s">
        <v>24</v>
      </c>
      <c r="X34" s="1" t="s">
        <v>24</v>
      </c>
      <c r="Y34" s="1" t="s">
        <v>24</v>
      </c>
      <c r="Z34" s="4" t="s">
        <v>24</v>
      </c>
      <c r="AA34" s="1" t="s">
        <v>24</v>
      </c>
      <c r="AB34" s="1" t="s">
        <v>24</v>
      </c>
      <c r="AC34" s="4" t="s">
        <v>24</v>
      </c>
      <c r="AD34" t="s">
        <v>49</v>
      </c>
    </row>
    <row r="35" spans="1:30" hidden="1" x14ac:dyDescent="0.35">
      <c r="A35" t="s">
        <v>41</v>
      </c>
      <c r="B35" t="s">
        <v>21</v>
      </c>
      <c r="C35" t="s">
        <v>42</v>
      </c>
      <c r="D35">
        <v>0.26</v>
      </c>
      <c r="E35">
        <v>4</v>
      </c>
      <c r="F35" t="s">
        <v>22</v>
      </c>
      <c r="G35" t="s">
        <v>23</v>
      </c>
      <c r="H35" t="s">
        <v>24</v>
      </c>
      <c r="I35" t="s">
        <v>24</v>
      </c>
      <c r="J35">
        <v>8</v>
      </c>
      <c r="K35" s="2" t="s">
        <v>24</v>
      </c>
      <c r="L35" t="s">
        <v>24</v>
      </c>
      <c r="M35" t="s">
        <v>24</v>
      </c>
      <c r="N35" t="s">
        <v>24</v>
      </c>
      <c r="O35" t="s">
        <v>22</v>
      </c>
      <c r="P35">
        <v>0.08</v>
      </c>
      <c r="Q35" t="s">
        <v>39</v>
      </c>
      <c r="R35" s="1">
        <v>810.66</v>
      </c>
      <c r="S35" s="1">
        <v>608.88</v>
      </c>
      <c r="T35" s="1">
        <v>1114.19</v>
      </c>
      <c r="U35" s="1" t="s">
        <v>24</v>
      </c>
      <c r="V35" s="1" t="s">
        <v>24</v>
      </c>
      <c r="W35" s="4" t="s">
        <v>24</v>
      </c>
      <c r="X35" s="1" t="s">
        <v>24</v>
      </c>
      <c r="Y35" s="1" t="s">
        <v>24</v>
      </c>
      <c r="Z35" s="4" t="s">
        <v>24</v>
      </c>
      <c r="AA35" s="1" t="s">
        <v>24</v>
      </c>
      <c r="AB35" s="1" t="s">
        <v>24</v>
      </c>
      <c r="AC35" s="4" t="s">
        <v>24</v>
      </c>
      <c r="AD35" t="s">
        <v>25</v>
      </c>
    </row>
    <row r="36" spans="1:30" hidden="1" x14ac:dyDescent="0.35">
      <c r="A36" t="s">
        <v>41</v>
      </c>
      <c r="B36" t="s">
        <v>21</v>
      </c>
      <c r="C36" t="s">
        <v>42</v>
      </c>
      <c r="D36">
        <v>0.26</v>
      </c>
      <c r="E36">
        <v>4</v>
      </c>
      <c r="F36" t="s">
        <v>22</v>
      </c>
      <c r="G36" t="s">
        <v>23</v>
      </c>
      <c r="H36" t="s">
        <v>24</v>
      </c>
      <c r="I36" t="s">
        <v>24</v>
      </c>
      <c r="J36">
        <v>8</v>
      </c>
      <c r="K36" s="2" t="s">
        <v>24</v>
      </c>
      <c r="L36" t="s">
        <v>24</v>
      </c>
      <c r="M36" t="s">
        <v>24</v>
      </c>
      <c r="N36" t="s">
        <v>24</v>
      </c>
      <c r="O36" t="s">
        <v>22</v>
      </c>
      <c r="P36">
        <v>0.16</v>
      </c>
      <c r="Q36" t="s">
        <v>39</v>
      </c>
      <c r="R36" s="1">
        <v>479.66</v>
      </c>
      <c r="S36" s="1">
        <v>266.33</v>
      </c>
      <c r="T36" s="1">
        <v>702.56</v>
      </c>
      <c r="U36" s="1" t="s">
        <v>24</v>
      </c>
      <c r="V36" s="1" t="s">
        <v>24</v>
      </c>
      <c r="W36" s="4" t="s">
        <v>24</v>
      </c>
      <c r="X36" s="1" t="s">
        <v>24</v>
      </c>
      <c r="Y36" s="1" t="s">
        <v>24</v>
      </c>
      <c r="Z36" s="4" t="s">
        <v>24</v>
      </c>
      <c r="AA36" s="1" t="s">
        <v>24</v>
      </c>
      <c r="AB36" s="1" t="s">
        <v>24</v>
      </c>
      <c r="AC36" s="4" t="s">
        <v>24</v>
      </c>
      <c r="AD36" t="s">
        <v>25</v>
      </c>
    </row>
    <row r="37" spans="1:30" hidden="1" x14ac:dyDescent="0.35">
      <c r="A37" t="s">
        <v>41</v>
      </c>
      <c r="B37" t="s">
        <v>21</v>
      </c>
      <c r="C37" t="s">
        <v>42</v>
      </c>
      <c r="D37">
        <v>0.26</v>
      </c>
      <c r="E37">
        <v>4</v>
      </c>
      <c r="F37" t="s">
        <v>22</v>
      </c>
      <c r="G37" t="s">
        <v>23</v>
      </c>
      <c r="H37" t="s">
        <v>24</v>
      </c>
      <c r="I37" t="s">
        <v>24</v>
      </c>
      <c r="J37">
        <v>8</v>
      </c>
      <c r="K37" s="2" t="s">
        <v>24</v>
      </c>
      <c r="L37" t="s">
        <v>24</v>
      </c>
      <c r="M37" t="s">
        <v>24</v>
      </c>
      <c r="N37" t="s">
        <v>24</v>
      </c>
      <c r="O37" t="s">
        <v>22</v>
      </c>
      <c r="P37">
        <v>0.25</v>
      </c>
      <c r="Q37" t="s">
        <v>39</v>
      </c>
      <c r="R37" s="1">
        <v>312.23</v>
      </c>
      <c r="S37" s="1">
        <v>173.36</v>
      </c>
      <c r="T37" s="1">
        <v>443</v>
      </c>
      <c r="U37" s="1" t="s">
        <v>24</v>
      </c>
      <c r="V37" s="1" t="s">
        <v>24</v>
      </c>
      <c r="W37" s="4" t="s">
        <v>24</v>
      </c>
      <c r="X37" s="1" t="s">
        <v>24</v>
      </c>
      <c r="Y37" s="1" t="s">
        <v>24</v>
      </c>
      <c r="Z37" s="4" t="s">
        <v>24</v>
      </c>
      <c r="AA37" s="1" t="s">
        <v>24</v>
      </c>
      <c r="AB37" s="1" t="s">
        <v>24</v>
      </c>
      <c r="AC37" s="4" t="s">
        <v>24</v>
      </c>
      <c r="AD37" t="s">
        <v>25</v>
      </c>
    </row>
    <row r="38" spans="1:30" hidden="1" x14ac:dyDescent="0.35">
      <c r="A38" t="s">
        <v>41</v>
      </c>
      <c r="B38" t="s">
        <v>21</v>
      </c>
      <c r="C38" t="s">
        <v>42</v>
      </c>
      <c r="D38">
        <v>0.26</v>
      </c>
      <c r="E38">
        <v>4</v>
      </c>
      <c r="F38" t="s">
        <v>22</v>
      </c>
      <c r="G38" t="s">
        <v>23</v>
      </c>
      <c r="H38" t="s">
        <v>24</v>
      </c>
      <c r="I38" t="s">
        <v>24</v>
      </c>
      <c r="J38">
        <v>8</v>
      </c>
      <c r="K38" s="2" t="s">
        <v>24</v>
      </c>
      <c r="L38" t="s">
        <v>24</v>
      </c>
      <c r="M38" t="s">
        <v>24</v>
      </c>
      <c r="N38" t="s">
        <v>24</v>
      </c>
      <c r="O38" t="s">
        <v>22</v>
      </c>
      <c r="P38">
        <v>0.5</v>
      </c>
      <c r="Q38" t="s">
        <v>39</v>
      </c>
      <c r="R38" s="1">
        <v>140.97999999999999</v>
      </c>
      <c r="S38" s="1">
        <v>94.74</v>
      </c>
      <c r="T38" s="1">
        <v>184.74</v>
      </c>
      <c r="U38" s="1" t="s">
        <v>24</v>
      </c>
      <c r="V38" s="1" t="s">
        <v>24</v>
      </c>
      <c r="W38" s="4" t="s">
        <v>24</v>
      </c>
      <c r="X38" s="1" t="s">
        <v>24</v>
      </c>
      <c r="Y38" s="1" t="s">
        <v>24</v>
      </c>
      <c r="Z38" s="4" t="s">
        <v>24</v>
      </c>
      <c r="AA38" s="1" t="s">
        <v>24</v>
      </c>
      <c r="AB38" s="1" t="s">
        <v>24</v>
      </c>
      <c r="AC38" s="4" t="s">
        <v>24</v>
      </c>
      <c r="AD38" t="s">
        <v>25</v>
      </c>
    </row>
    <row r="39" spans="1:30" hidden="1" x14ac:dyDescent="0.35">
      <c r="A39" t="s">
        <v>41</v>
      </c>
      <c r="B39" t="s">
        <v>21</v>
      </c>
      <c r="C39" t="s">
        <v>42</v>
      </c>
      <c r="D39">
        <v>0.26</v>
      </c>
      <c r="E39">
        <v>4</v>
      </c>
      <c r="F39" t="s">
        <v>22</v>
      </c>
      <c r="G39" t="s">
        <v>23</v>
      </c>
      <c r="H39" t="s">
        <v>24</v>
      </c>
      <c r="I39" t="s">
        <v>24</v>
      </c>
      <c r="J39">
        <v>8</v>
      </c>
      <c r="K39" s="2" t="s">
        <v>24</v>
      </c>
      <c r="L39" t="s">
        <v>24</v>
      </c>
      <c r="M39" t="s">
        <v>24</v>
      </c>
      <c r="N39" t="s">
        <v>24</v>
      </c>
      <c r="O39" t="s">
        <v>22</v>
      </c>
      <c r="P39">
        <v>1</v>
      </c>
      <c r="Q39" t="s">
        <v>39</v>
      </c>
      <c r="R39" s="1">
        <v>47.06</v>
      </c>
      <c r="S39" s="1">
        <v>32.130000000000003</v>
      </c>
      <c r="T39" s="1">
        <v>60.69</v>
      </c>
      <c r="U39" s="1" t="s">
        <v>24</v>
      </c>
      <c r="V39" s="1" t="s">
        <v>24</v>
      </c>
      <c r="W39" s="4" t="s">
        <v>24</v>
      </c>
      <c r="X39" s="1" t="s">
        <v>24</v>
      </c>
      <c r="Y39" s="1" t="s">
        <v>24</v>
      </c>
      <c r="Z39" s="4" t="s">
        <v>24</v>
      </c>
      <c r="AA39" s="1" t="s">
        <v>24</v>
      </c>
      <c r="AB39" s="1" t="s">
        <v>24</v>
      </c>
      <c r="AC39" s="4" t="s">
        <v>24</v>
      </c>
      <c r="AD39" t="s">
        <v>25</v>
      </c>
    </row>
    <row r="40" spans="1:30" hidden="1" x14ac:dyDescent="0.35">
      <c r="A40" t="s">
        <v>41</v>
      </c>
      <c r="B40" t="s">
        <v>21</v>
      </c>
      <c r="C40" t="s">
        <v>42</v>
      </c>
      <c r="D40">
        <v>0.26</v>
      </c>
      <c r="E40">
        <v>4</v>
      </c>
      <c r="F40" t="s">
        <v>22</v>
      </c>
      <c r="G40" t="s">
        <v>23</v>
      </c>
      <c r="H40" t="s">
        <v>24</v>
      </c>
      <c r="I40" t="s">
        <v>24</v>
      </c>
      <c r="J40">
        <v>8</v>
      </c>
      <c r="K40" s="2" t="s">
        <v>24</v>
      </c>
      <c r="L40" t="s">
        <v>24</v>
      </c>
      <c r="M40" t="s">
        <v>24</v>
      </c>
      <c r="N40" t="s">
        <v>24</v>
      </c>
      <c r="O40" t="s">
        <v>22</v>
      </c>
      <c r="P40">
        <v>2</v>
      </c>
      <c r="Q40" t="s">
        <v>39</v>
      </c>
      <c r="R40" s="1">
        <v>11.8</v>
      </c>
      <c r="S40" s="1">
        <v>9.75</v>
      </c>
      <c r="T40" s="1">
        <v>11.05</v>
      </c>
      <c r="U40" s="1" t="s">
        <v>24</v>
      </c>
      <c r="V40" s="1" t="s">
        <v>24</v>
      </c>
      <c r="W40" s="4" t="s">
        <v>24</v>
      </c>
      <c r="X40" s="1" t="s">
        <v>24</v>
      </c>
      <c r="Y40" s="1" t="s">
        <v>24</v>
      </c>
      <c r="Z40" s="4" t="s">
        <v>24</v>
      </c>
      <c r="AA40" s="1" t="s">
        <v>24</v>
      </c>
      <c r="AB40" s="1" t="s">
        <v>24</v>
      </c>
      <c r="AC40" s="4" t="s">
        <v>24</v>
      </c>
      <c r="AD40" t="s">
        <v>25</v>
      </c>
    </row>
    <row r="41" spans="1:30" hidden="1" x14ac:dyDescent="0.35">
      <c r="A41" t="s">
        <v>41</v>
      </c>
      <c r="B41" t="s">
        <v>21</v>
      </c>
      <c r="C41" t="s">
        <v>42</v>
      </c>
      <c r="D41">
        <v>0.26</v>
      </c>
      <c r="E41">
        <v>4</v>
      </c>
      <c r="F41" t="s">
        <v>22</v>
      </c>
      <c r="G41" t="s">
        <v>23</v>
      </c>
      <c r="H41" t="s">
        <v>24</v>
      </c>
      <c r="I41" t="s">
        <v>24</v>
      </c>
      <c r="J41">
        <v>8</v>
      </c>
      <c r="K41" s="2" t="s">
        <v>24</v>
      </c>
      <c r="L41" t="s">
        <v>24</v>
      </c>
      <c r="M41" t="s">
        <v>24</v>
      </c>
      <c r="N41" t="s">
        <v>24</v>
      </c>
      <c r="O41" t="s">
        <v>22</v>
      </c>
      <c r="P41">
        <v>3</v>
      </c>
      <c r="Q41" t="s">
        <v>39</v>
      </c>
      <c r="R41" s="1">
        <v>4.92</v>
      </c>
      <c r="S41" s="1">
        <v>3.88</v>
      </c>
      <c r="T41" s="1">
        <v>5.95</v>
      </c>
      <c r="U41" s="1" t="s">
        <v>24</v>
      </c>
      <c r="V41" s="1" t="s">
        <v>24</v>
      </c>
      <c r="W41" s="4" t="s">
        <v>24</v>
      </c>
      <c r="X41" s="1" t="s">
        <v>24</v>
      </c>
      <c r="Y41" s="1" t="s">
        <v>24</v>
      </c>
      <c r="Z41" s="4" t="s">
        <v>24</v>
      </c>
      <c r="AA41" s="1" t="s">
        <v>24</v>
      </c>
      <c r="AB41" s="1" t="s">
        <v>24</v>
      </c>
      <c r="AC41" s="4" t="s">
        <v>24</v>
      </c>
      <c r="AD41" t="s">
        <v>25</v>
      </c>
    </row>
    <row r="42" spans="1:30" hidden="1" x14ac:dyDescent="0.35">
      <c r="A42" t="s">
        <v>41</v>
      </c>
      <c r="B42" t="s">
        <v>21</v>
      </c>
      <c r="C42" t="s">
        <v>42</v>
      </c>
      <c r="D42">
        <v>0.26</v>
      </c>
      <c r="E42">
        <v>4</v>
      </c>
      <c r="F42" t="s">
        <v>22</v>
      </c>
      <c r="G42" t="s">
        <v>23</v>
      </c>
      <c r="H42" t="s">
        <v>24</v>
      </c>
      <c r="I42" t="s">
        <v>24</v>
      </c>
      <c r="J42">
        <v>8</v>
      </c>
      <c r="K42" s="2" t="s">
        <v>24</v>
      </c>
      <c r="L42" t="s">
        <v>24</v>
      </c>
      <c r="M42" t="s">
        <v>24</v>
      </c>
      <c r="N42" t="s">
        <v>24</v>
      </c>
      <c r="O42" t="s">
        <v>22</v>
      </c>
      <c r="P42">
        <v>6</v>
      </c>
      <c r="Q42" t="s">
        <v>39</v>
      </c>
      <c r="R42" s="1">
        <v>2.52</v>
      </c>
      <c r="S42" s="1">
        <v>1.49</v>
      </c>
      <c r="T42" s="1">
        <v>3.64</v>
      </c>
      <c r="U42" s="1" t="s">
        <v>24</v>
      </c>
      <c r="V42" s="1" t="s">
        <v>24</v>
      </c>
      <c r="W42" s="4" t="s">
        <v>24</v>
      </c>
      <c r="X42" s="1" t="s">
        <v>24</v>
      </c>
      <c r="Y42" s="1" t="s">
        <v>24</v>
      </c>
      <c r="Z42" s="4" t="s">
        <v>24</v>
      </c>
      <c r="AA42" s="1" t="s">
        <v>24</v>
      </c>
      <c r="AB42" s="1" t="s">
        <v>24</v>
      </c>
      <c r="AC42" s="4" t="s">
        <v>24</v>
      </c>
      <c r="AD42" t="s">
        <v>25</v>
      </c>
    </row>
    <row r="43" spans="1:30" x14ac:dyDescent="0.35">
      <c r="A43" t="s">
        <v>41</v>
      </c>
      <c r="B43" t="s">
        <v>21</v>
      </c>
      <c r="C43" t="s">
        <v>42</v>
      </c>
      <c r="D43">
        <v>0.26</v>
      </c>
      <c r="E43">
        <v>4</v>
      </c>
      <c r="F43" t="s">
        <v>22</v>
      </c>
      <c r="G43" t="s">
        <v>50</v>
      </c>
      <c r="H43" t="s">
        <v>24</v>
      </c>
      <c r="I43" t="s">
        <v>24</v>
      </c>
      <c r="J43" t="s">
        <v>24</v>
      </c>
      <c r="K43" s="2">
        <v>1.1299999999999999</v>
      </c>
      <c r="L43">
        <v>6</v>
      </c>
      <c r="M43" t="s">
        <v>24</v>
      </c>
      <c r="N43" t="s">
        <v>24</v>
      </c>
      <c r="O43" t="s">
        <v>22</v>
      </c>
      <c r="P43">
        <v>6</v>
      </c>
      <c r="Q43" t="s">
        <v>51</v>
      </c>
      <c r="R43" s="1">
        <v>477.12234849999999</v>
      </c>
      <c r="S43" s="1">
        <f>R43-(T43-R43)</f>
        <v>266.08716719999995</v>
      </c>
      <c r="T43" s="1">
        <v>688.15752980000002</v>
      </c>
      <c r="U43" s="1" t="s">
        <v>24</v>
      </c>
      <c r="V43" s="1" t="s">
        <v>24</v>
      </c>
      <c r="W43" s="4" t="s">
        <v>24</v>
      </c>
      <c r="X43" s="1" t="s">
        <v>24</v>
      </c>
      <c r="Y43" s="1" t="s">
        <v>24</v>
      </c>
      <c r="Z43" s="4" t="s">
        <v>24</v>
      </c>
      <c r="AA43" s="1" t="s">
        <v>24</v>
      </c>
      <c r="AB43" s="1" t="s">
        <v>24</v>
      </c>
      <c r="AC43" s="4" t="s">
        <v>24</v>
      </c>
      <c r="AD43" t="s">
        <v>25</v>
      </c>
    </row>
    <row r="44" spans="1:30" x14ac:dyDescent="0.35">
      <c r="A44" t="s">
        <v>41</v>
      </c>
      <c r="B44" t="s">
        <v>21</v>
      </c>
      <c r="C44" t="s">
        <v>42</v>
      </c>
      <c r="D44">
        <v>0.26</v>
      </c>
      <c r="E44">
        <v>4</v>
      </c>
      <c r="F44" t="s">
        <v>22</v>
      </c>
      <c r="G44" t="s">
        <v>50</v>
      </c>
      <c r="H44" t="s">
        <v>24</v>
      </c>
      <c r="I44" t="s">
        <v>24</v>
      </c>
      <c r="J44" t="s">
        <v>24</v>
      </c>
      <c r="K44" s="2">
        <v>1.1299999999999999</v>
      </c>
      <c r="L44">
        <v>6</v>
      </c>
      <c r="M44" t="s">
        <v>24</v>
      </c>
      <c r="N44" t="s">
        <v>24</v>
      </c>
      <c r="O44" t="s">
        <v>22</v>
      </c>
      <c r="P44">
        <v>6</v>
      </c>
      <c r="Q44" t="s">
        <v>26</v>
      </c>
      <c r="R44" s="1">
        <v>1015.413798</v>
      </c>
      <c r="S44" s="1">
        <f t="shared" ref="S44:S68" si="0">R44-(T44-R44)</f>
        <v>379.24964100000011</v>
      </c>
      <c r="T44" s="1">
        <v>1651.577955</v>
      </c>
      <c r="U44" s="1" t="s">
        <v>24</v>
      </c>
      <c r="V44" s="1" t="s">
        <v>24</v>
      </c>
      <c r="W44" s="4" t="s">
        <v>24</v>
      </c>
      <c r="X44" s="1" t="s">
        <v>24</v>
      </c>
      <c r="Y44" s="1" t="s">
        <v>24</v>
      </c>
      <c r="Z44" s="4" t="s">
        <v>24</v>
      </c>
      <c r="AA44" s="1" t="s">
        <v>24</v>
      </c>
      <c r="AB44" s="1" t="s">
        <v>24</v>
      </c>
      <c r="AC44" s="4" t="s">
        <v>24</v>
      </c>
      <c r="AD44" t="s">
        <v>25</v>
      </c>
    </row>
    <row r="45" spans="1:30" x14ac:dyDescent="0.35">
      <c r="A45" t="s">
        <v>41</v>
      </c>
      <c r="B45" t="s">
        <v>21</v>
      </c>
      <c r="C45" t="s">
        <v>42</v>
      </c>
      <c r="D45">
        <v>0.26</v>
      </c>
      <c r="E45">
        <v>4</v>
      </c>
      <c r="F45" t="s">
        <v>22</v>
      </c>
      <c r="G45" t="s">
        <v>50</v>
      </c>
      <c r="H45" t="s">
        <v>24</v>
      </c>
      <c r="I45" t="s">
        <v>24</v>
      </c>
      <c r="J45" t="s">
        <v>24</v>
      </c>
      <c r="K45" s="2">
        <v>1.1299999999999999</v>
      </c>
      <c r="L45">
        <v>6</v>
      </c>
      <c r="M45" t="s">
        <v>24</v>
      </c>
      <c r="N45" t="s">
        <v>24</v>
      </c>
      <c r="O45" t="s">
        <v>22</v>
      </c>
      <c r="P45">
        <v>6</v>
      </c>
      <c r="Q45" t="s">
        <v>27</v>
      </c>
      <c r="R45" s="1">
        <v>232.44407749999999</v>
      </c>
      <c r="S45" s="1">
        <f t="shared" si="0"/>
        <v>174.33252019999998</v>
      </c>
      <c r="T45" s="1">
        <v>290.55563480000001</v>
      </c>
      <c r="U45" s="1" t="s">
        <v>24</v>
      </c>
      <c r="V45" s="1" t="s">
        <v>24</v>
      </c>
      <c r="W45" s="4" t="s">
        <v>24</v>
      </c>
      <c r="X45" s="1" t="s">
        <v>24</v>
      </c>
      <c r="Y45" s="1" t="s">
        <v>24</v>
      </c>
      <c r="Z45" s="4" t="s">
        <v>24</v>
      </c>
      <c r="AA45" s="1" t="s">
        <v>24</v>
      </c>
      <c r="AB45" s="1" t="s">
        <v>24</v>
      </c>
      <c r="AC45" s="4" t="s">
        <v>24</v>
      </c>
      <c r="AD45" t="s">
        <v>25</v>
      </c>
    </row>
    <row r="46" spans="1:30" x14ac:dyDescent="0.35">
      <c r="A46" t="s">
        <v>41</v>
      </c>
      <c r="B46" t="s">
        <v>21</v>
      </c>
      <c r="C46" t="s">
        <v>42</v>
      </c>
      <c r="D46">
        <v>0.26</v>
      </c>
      <c r="E46">
        <v>4</v>
      </c>
      <c r="F46" t="s">
        <v>22</v>
      </c>
      <c r="G46" t="s">
        <v>50</v>
      </c>
      <c r="H46" t="s">
        <v>24</v>
      </c>
      <c r="I46" t="s">
        <v>24</v>
      </c>
      <c r="J46" t="s">
        <v>24</v>
      </c>
      <c r="K46" s="2">
        <v>1.1299999999999999</v>
      </c>
      <c r="L46">
        <v>6</v>
      </c>
      <c r="M46" t="s">
        <v>24</v>
      </c>
      <c r="N46" t="s">
        <v>24</v>
      </c>
      <c r="O46" t="s">
        <v>22</v>
      </c>
      <c r="P46">
        <v>6</v>
      </c>
      <c r="Q46" t="s">
        <v>52</v>
      </c>
      <c r="R46" s="1">
        <v>1382.4312050000001</v>
      </c>
      <c r="S46" s="1">
        <f t="shared" si="0"/>
        <v>578.05082100000027</v>
      </c>
      <c r="T46" s="1">
        <v>2186.8115889999999</v>
      </c>
      <c r="U46" s="1" t="s">
        <v>24</v>
      </c>
      <c r="V46" s="1" t="s">
        <v>24</v>
      </c>
      <c r="W46" s="4" t="s">
        <v>24</v>
      </c>
      <c r="X46" s="1" t="s">
        <v>24</v>
      </c>
      <c r="Y46" s="1" t="s">
        <v>24</v>
      </c>
      <c r="Z46" s="4" t="s">
        <v>24</v>
      </c>
      <c r="AA46" s="1" t="s">
        <v>24</v>
      </c>
      <c r="AB46" s="1" t="s">
        <v>24</v>
      </c>
      <c r="AC46" s="4" t="s">
        <v>24</v>
      </c>
      <c r="AD46" t="s">
        <v>25</v>
      </c>
    </row>
    <row r="47" spans="1:30" x14ac:dyDescent="0.35">
      <c r="A47" t="s">
        <v>41</v>
      </c>
      <c r="B47" t="s">
        <v>21</v>
      </c>
      <c r="C47" t="s">
        <v>42</v>
      </c>
      <c r="D47">
        <v>0.26</v>
      </c>
      <c r="E47">
        <v>4</v>
      </c>
      <c r="F47" t="s">
        <v>22</v>
      </c>
      <c r="G47" t="s">
        <v>50</v>
      </c>
      <c r="H47" t="s">
        <v>24</v>
      </c>
      <c r="I47" t="s">
        <v>24</v>
      </c>
      <c r="J47" t="s">
        <v>24</v>
      </c>
      <c r="K47" s="2">
        <v>1.1299999999999999</v>
      </c>
      <c r="L47">
        <v>6</v>
      </c>
      <c r="M47" t="s">
        <v>24</v>
      </c>
      <c r="N47" t="s">
        <v>24</v>
      </c>
      <c r="O47" t="s">
        <v>22</v>
      </c>
      <c r="P47">
        <v>6</v>
      </c>
      <c r="Q47" t="s">
        <v>53</v>
      </c>
      <c r="R47" s="1">
        <v>293.61364529999997</v>
      </c>
      <c r="S47" s="1">
        <f t="shared" si="0"/>
        <v>174.33382279999995</v>
      </c>
      <c r="T47" s="1">
        <v>412.8934678</v>
      </c>
      <c r="U47" s="1" t="s">
        <v>24</v>
      </c>
      <c r="V47" s="1" t="s">
        <v>24</v>
      </c>
      <c r="W47" s="4" t="s">
        <v>24</v>
      </c>
      <c r="X47" s="1" t="s">
        <v>24</v>
      </c>
      <c r="Y47" s="1" t="s">
        <v>24</v>
      </c>
      <c r="Z47" s="4" t="s">
        <v>24</v>
      </c>
      <c r="AA47" s="1" t="s">
        <v>24</v>
      </c>
      <c r="AB47" s="1" t="s">
        <v>24</v>
      </c>
      <c r="AC47" s="4" t="s">
        <v>24</v>
      </c>
      <c r="AD47" t="s">
        <v>25</v>
      </c>
    </row>
    <row r="48" spans="1:30" x14ac:dyDescent="0.35">
      <c r="A48" t="s">
        <v>41</v>
      </c>
      <c r="B48" t="s">
        <v>21</v>
      </c>
      <c r="C48" t="s">
        <v>42</v>
      </c>
      <c r="D48">
        <v>0.26</v>
      </c>
      <c r="E48">
        <v>4</v>
      </c>
      <c r="F48" t="s">
        <v>22</v>
      </c>
      <c r="G48" t="s">
        <v>50</v>
      </c>
      <c r="H48" t="s">
        <v>24</v>
      </c>
      <c r="I48" t="s">
        <v>24</v>
      </c>
      <c r="J48" t="s">
        <v>24</v>
      </c>
      <c r="K48" s="2">
        <v>1.1299999999999999</v>
      </c>
      <c r="L48">
        <v>6</v>
      </c>
      <c r="M48" t="s">
        <v>24</v>
      </c>
      <c r="N48" t="s">
        <v>24</v>
      </c>
      <c r="O48" t="s">
        <v>22</v>
      </c>
      <c r="P48">
        <v>6</v>
      </c>
      <c r="Q48" t="s">
        <v>54</v>
      </c>
      <c r="R48" s="1">
        <v>122.3391355</v>
      </c>
      <c r="S48" s="1">
        <f t="shared" si="0"/>
        <v>45.8767402</v>
      </c>
      <c r="T48" s="1">
        <v>198.80153079999999</v>
      </c>
      <c r="U48" s="1" t="s">
        <v>24</v>
      </c>
      <c r="V48" s="1" t="s">
        <v>24</v>
      </c>
      <c r="W48" s="4" t="s">
        <v>24</v>
      </c>
      <c r="X48" s="1" t="s">
        <v>24</v>
      </c>
      <c r="Y48" s="1" t="s">
        <v>24</v>
      </c>
      <c r="Z48" s="4" t="s">
        <v>24</v>
      </c>
      <c r="AA48" s="1" t="s">
        <v>24</v>
      </c>
      <c r="AB48" s="1" t="s">
        <v>24</v>
      </c>
      <c r="AC48" s="4" t="s">
        <v>24</v>
      </c>
      <c r="AD48" t="s">
        <v>25</v>
      </c>
    </row>
    <row r="49" spans="1:30" x14ac:dyDescent="0.35">
      <c r="A49" t="s">
        <v>41</v>
      </c>
      <c r="B49" t="s">
        <v>21</v>
      </c>
      <c r="C49" t="s">
        <v>42</v>
      </c>
      <c r="D49">
        <v>0.26</v>
      </c>
      <c r="E49">
        <v>4</v>
      </c>
      <c r="F49" t="s">
        <v>22</v>
      </c>
      <c r="G49" t="s">
        <v>50</v>
      </c>
      <c r="H49" t="s">
        <v>24</v>
      </c>
      <c r="I49" t="s">
        <v>24</v>
      </c>
      <c r="J49" t="s">
        <v>24</v>
      </c>
      <c r="K49" s="2">
        <v>1.1299999999999999</v>
      </c>
      <c r="L49">
        <v>6</v>
      </c>
      <c r="M49" t="s">
        <v>24</v>
      </c>
      <c r="N49" t="s">
        <v>24</v>
      </c>
      <c r="O49" t="s">
        <v>22</v>
      </c>
      <c r="P49">
        <v>6</v>
      </c>
      <c r="Q49" t="s">
        <v>55</v>
      </c>
      <c r="R49" s="1">
        <v>269.14619149999999</v>
      </c>
      <c r="S49" s="1">
        <f t="shared" si="0"/>
        <v>155.98264419999998</v>
      </c>
      <c r="T49" s="1">
        <v>382.30973879999999</v>
      </c>
      <c r="U49" s="1" t="s">
        <v>24</v>
      </c>
      <c r="V49" s="1" t="s">
        <v>24</v>
      </c>
      <c r="W49" s="4" t="s">
        <v>24</v>
      </c>
      <c r="X49" s="1" t="s">
        <v>24</v>
      </c>
      <c r="Y49" s="1" t="s">
        <v>24</v>
      </c>
      <c r="Z49" s="4" t="s">
        <v>24</v>
      </c>
      <c r="AA49" s="1" t="s">
        <v>24</v>
      </c>
      <c r="AB49" s="1" t="s">
        <v>24</v>
      </c>
      <c r="AC49" s="4" t="s">
        <v>24</v>
      </c>
      <c r="AD49" t="s">
        <v>25</v>
      </c>
    </row>
    <row r="50" spans="1:30" x14ac:dyDescent="0.35">
      <c r="A50" t="s">
        <v>41</v>
      </c>
      <c r="B50" t="s">
        <v>21</v>
      </c>
      <c r="C50" t="s">
        <v>42</v>
      </c>
      <c r="D50">
        <v>0.26</v>
      </c>
      <c r="E50">
        <v>4</v>
      </c>
      <c r="F50" t="s">
        <v>22</v>
      </c>
      <c r="G50" t="s">
        <v>50</v>
      </c>
      <c r="H50" t="s">
        <v>24</v>
      </c>
      <c r="I50" t="s">
        <v>24</v>
      </c>
      <c r="J50" t="s">
        <v>24</v>
      </c>
      <c r="K50" s="2">
        <v>1.1299999999999999</v>
      </c>
      <c r="L50">
        <v>6</v>
      </c>
      <c r="M50" t="s">
        <v>24</v>
      </c>
      <c r="N50" t="s">
        <v>24</v>
      </c>
      <c r="O50" t="s">
        <v>22</v>
      </c>
      <c r="P50">
        <v>6</v>
      </c>
      <c r="Q50" t="s">
        <v>56</v>
      </c>
      <c r="R50" s="1">
        <v>110.1054086</v>
      </c>
      <c r="S50" s="1">
        <f t="shared" si="0"/>
        <v>6.1171302000000196</v>
      </c>
      <c r="T50" s="1">
        <v>214.09368699999999</v>
      </c>
      <c r="U50" s="1" t="s">
        <v>24</v>
      </c>
      <c r="V50" s="1" t="s">
        <v>24</v>
      </c>
      <c r="W50" s="4" t="s">
        <v>24</v>
      </c>
      <c r="X50" s="1" t="s">
        <v>24</v>
      </c>
      <c r="Y50" s="1" t="s">
        <v>24</v>
      </c>
      <c r="Z50" s="4" t="s">
        <v>24</v>
      </c>
      <c r="AA50" s="1" t="s">
        <v>24</v>
      </c>
      <c r="AB50" s="1" t="s">
        <v>24</v>
      </c>
      <c r="AC50" s="4" t="s">
        <v>24</v>
      </c>
      <c r="AD50" t="s">
        <v>25</v>
      </c>
    </row>
    <row r="51" spans="1:30" x14ac:dyDescent="0.35">
      <c r="A51" t="s">
        <v>41</v>
      </c>
      <c r="B51" t="s">
        <v>21</v>
      </c>
      <c r="C51" t="s">
        <v>42</v>
      </c>
      <c r="D51">
        <v>0.26</v>
      </c>
      <c r="E51">
        <v>4</v>
      </c>
      <c r="F51" t="s">
        <v>22</v>
      </c>
      <c r="G51" t="s">
        <v>50</v>
      </c>
      <c r="H51" t="s">
        <v>24</v>
      </c>
      <c r="I51" t="s">
        <v>24</v>
      </c>
      <c r="J51" t="s">
        <v>24</v>
      </c>
      <c r="K51" s="2">
        <v>1.1299999999999999</v>
      </c>
      <c r="L51">
        <v>6</v>
      </c>
      <c r="M51" t="s">
        <v>24</v>
      </c>
      <c r="N51" t="s">
        <v>24</v>
      </c>
      <c r="O51" t="s">
        <v>22</v>
      </c>
      <c r="P51">
        <v>6</v>
      </c>
      <c r="Q51" t="s">
        <v>57</v>
      </c>
      <c r="R51" s="1">
        <v>795.20438090000005</v>
      </c>
      <c r="S51" s="1">
        <f t="shared" si="0"/>
        <v>275.2629108000001</v>
      </c>
      <c r="T51" s="1">
        <v>1315.145851</v>
      </c>
      <c r="U51" s="1" t="s">
        <v>24</v>
      </c>
      <c r="V51" s="1" t="s">
        <v>24</v>
      </c>
      <c r="W51" s="4" t="s">
        <v>24</v>
      </c>
      <c r="X51" s="1" t="s">
        <v>24</v>
      </c>
      <c r="Y51" s="1" t="s">
        <v>24</v>
      </c>
      <c r="Z51" s="4" t="s">
        <v>24</v>
      </c>
      <c r="AA51" s="1" t="s">
        <v>24</v>
      </c>
      <c r="AB51" s="1" t="s">
        <v>24</v>
      </c>
      <c r="AC51" s="4" t="s">
        <v>24</v>
      </c>
      <c r="AD51" t="s">
        <v>25</v>
      </c>
    </row>
    <row r="52" spans="1:30" x14ac:dyDescent="0.35">
      <c r="A52" t="s">
        <v>41</v>
      </c>
      <c r="B52" t="s">
        <v>21</v>
      </c>
      <c r="C52" t="s">
        <v>42</v>
      </c>
      <c r="D52">
        <v>0.26</v>
      </c>
      <c r="E52">
        <v>4</v>
      </c>
      <c r="F52" t="s">
        <v>22</v>
      </c>
      <c r="G52" t="s">
        <v>50</v>
      </c>
      <c r="H52" t="s">
        <v>24</v>
      </c>
      <c r="I52" t="s">
        <v>24</v>
      </c>
      <c r="J52" t="s">
        <v>24</v>
      </c>
      <c r="K52" s="2">
        <v>1.1299999999999999</v>
      </c>
      <c r="L52">
        <v>6</v>
      </c>
      <c r="M52" t="s">
        <v>24</v>
      </c>
      <c r="N52" t="s">
        <v>24</v>
      </c>
      <c r="O52" t="s">
        <v>22</v>
      </c>
      <c r="P52">
        <v>6</v>
      </c>
      <c r="Q52" t="s">
        <v>58</v>
      </c>
      <c r="R52" s="1">
        <v>305.84783879999998</v>
      </c>
      <c r="S52" s="1">
        <f t="shared" si="0"/>
        <v>107.04693909999997</v>
      </c>
      <c r="T52" s="1">
        <v>504.64873849999998</v>
      </c>
      <c r="U52" s="1" t="s">
        <v>24</v>
      </c>
      <c r="V52" s="1" t="s">
        <v>24</v>
      </c>
      <c r="W52" s="4" t="s">
        <v>24</v>
      </c>
      <c r="X52" s="1" t="s">
        <v>24</v>
      </c>
      <c r="Y52" s="1" t="s">
        <v>24</v>
      </c>
      <c r="Z52" s="4" t="s">
        <v>24</v>
      </c>
      <c r="AA52" s="1" t="s">
        <v>24</v>
      </c>
      <c r="AB52" s="1" t="s">
        <v>24</v>
      </c>
      <c r="AC52" s="4" t="s">
        <v>24</v>
      </c>
      <c r="AD52" t="s">
        <v>25</v>
      </c>
    </row>
    <row r="53" spans="1:30" x14ac:dyDescent="0.35">
      <c r="A53" t="s">
        <v>41</v>
      </c>
      <c r="B53" t="s">
        <v>21</v>
      </c>
      <c r="C53" t="s">
        <v>42</v>
      </c>
      <c r="D53">
        <v>0.26</v>
      </c>
      <c r="E53">
        <v>4</v>
      </c>
      <c r="F53" t="s">
        <v>22</v>
      </c>
      <c r="G53" t="s">
        <v>50</v>
      </c>
      <c r="H53" t="s">
        <v>24</v>
      </c>
      <c r="I53" t="s">
        <v>24</v>
      </c>
      <c r="J53" t="s">
        <v>24</v>
      </c>
      <c r="K53" s="2">
        <v>1.1299999999999999</v>
      </c>
      <c r="L53">
        <v>6</v>
      </c>
      <c r="M53" t="s">
        <v>24</v>
      </c>
      <c r="N53" t="s">
        <v>24</v>
      </c>
      <c r="O53" t="s">
        <v>22</v>
      </c>
      <c r="P53">
        <v>6</v>
      </c>
      <c r="Q53" t="s">
        <v>59</v>
      </c>
      <c r="R53" s="1">
        <v>232.44407749999999</v>
      </c>
      <c r="S53" s="1">
        <f t="shared" si="0"/>
        <v>143.74762440000001</v>
      </c>
      <c r="T53" s="1">
        <v>321.14053059999998</v>
      </c>
      <c r="U53" s="1" t="s">
        <v>24</v>
      </c>
      <c r="V53" s="1" t="s">
        <v>24</v>
      </c>
      <c r="W53" s="4" t="s">
        <v>24</v>
      </c>
      <c r="X53" s="1" t="s">
        <v>24</v>
      </c>
      <c r="Y53" s="1" t="s">
        <v>24</v>
      </c>
      <c r="Z53" s="4" t="s">
        <v>24</v>
      </c>
      <c r="AA53" s="1" t="s">
        <v>24</v>
      </c>
      <c r="AB53" s="1" t="s">
        <v>24</v>
      </c>
      <c r="AC53" s="4" t="s">
        <v>24</v>
      </c>
      <c r="AD53" t="s">
        <v>25</v>
      </c>
    </row>
    <row r="54" spans="1:30" x14ac:dyDescent="0.35">
      <c r="A54" t="s">
        <v>41</v>
      </c>
      <c r="B54" t="s">
        <v>21</v>
      </c>
      <c r="C54" t="s">
        <v>42</v>
      </c>
      <c r="D54">
        <v>0.26</v>
      </c>
      <c r="E54">
        <v>4</v>
      </c>
      <c r="F54" t="s">
        <v>22</v>
      </c>
      <c r="G54" t="s">
        <v>50</v>
      </c>
      <c r="H54" t="s">
        <v>24</v>
      </c>
      <c r="I54" t="s">
        <v>24</v>
      </c>
      <c r="J54" t="s">
        <v>24</v>
      </c>
      <c r="K54" s="2">
        <v>1.1299999999999999</v>
      </c>
      <c r="L54">
        <v>6</v>
      </c>
      <c r="M54" t="s">
        <v>24</v>
      </c>
      <c r="N54" t="s">
        <v>24</v>
      </c>
      <c r="O54" t="s">
        <v>22</v>
      </c>
      <c r="P54">
        <v>6</v>
      </c>
      <c r="Q54" t="s">
        <v>60</v>
      </c>
      <c r="R54" s="1">
        <v>342.54855279999998</v>
      </c>
      <c r="S54" s="1">
        <f t="shared" si="0"/>
        <v>165.1556276</v>
      </c>
      <c r="T54" s="1">
        <v>519.94147799999996</v>
      </c>
      <c r="U54" s="1" t="s">
        <v>24</v>
      </c>
      <c r="V54" s="1" t="s">
        <v>24</v>
      </c>
      <c r="W54" s="4" t="s">
        <v>24</v>
      </c>
      <c r="X54" s="1" t="s">
        <v>24</v>
      </c>
      <c r="Y54" s="1" t="s">
        <v>24</v>
      </c>
      <c r="Z54" s="4" t="s">
        <v>24</v>
      </c>
      <c r="AA54" s="1" t="s">
        <v>24</v>
      </c>
      <c r="AB54" s="1" t="s">
        <v>24</v>
      </c>
      <c r="AC54" s="4" t="s">
        <v>24</v>
      </c>
      <c r="AD54" t="s">
        <v>25</v>
      </c>
    </row>
    <row r="55" spans="1:30" x14ac:dyDescent="0.35">
      <c r="A55" t="s">
        <v>41</v>
      </c>
      <c r="B55" t="s">
        <v>21</v>
      </c>
      <c r="C55" t="s">
        <v>42</v>
      </c>
      <c r="D55">
        <v>0.26</v>
      </c>
      <c r="E55">
        <v>4</v>
      </c>
      <c r="F55" t="s">
        <v>22</v>
      </c>
      <c r="G55" t="s">
        <v>50</v>
      </c>
      <c r="H55" t="s">
        <v>24</v>
      </c>
      <c r="I55" t="s">
        <v>24</v>
      </c>
      <c r="J55" t="s">
        <v>24</v>
      </c>
      <c r="K55" s="2">
        <v>1.1299999999999999</v>
      </c>
      <c r="L55">
        <v>6</v>
      </c>
      <c r="M55" t="s">
        <v>24</v>
      </c>
      <c r="N55" t="s">
        <v>24</v>
      </c>
      <c r="O55" t="s">
        <v>22</v>
      </c>
      <c r="P55">
        <v>6</v>
      </c>
      <c r="Q55" t="s">
        <v>70</v>
      </c>
      <c r="R55" s="1">
        <v>10905.474679999999</v>
      </c>
      <c r="S55" s="1">
        <f t="shared" si="0"/>
        <v>6633.5028099999981</v>
      </c>
      <c r="T55" s="1">
        <v>15177.446550000001</v>
      </c>
      <c r="U55" s="1" t="s">
        <v>24</v>
      </c>
      <c r="V55" s="1" t="s">
        <v>24</v>
      </c>
      <c r="W55" s="4" t="s">
        <v>24</v>
      </c>
      <c r="X55" s="1" t="s">
        <v>24</v>
      </c>
      <c r="Y55" s="1" t="s">
        <v>24</v>
      </c>
      <c r="Z55" s="4" t="s">
        <v>24</v>
      </c>
      <c r="AA55" s="1" t="s">
        <v>24</v>
      </c>
      <c r="AB55" s="1" t="s">
        <v>24</v>
      </c>
      <c r="AC55" s="4" t="s">
        <v>24</v>
      </c>
      <c r="AD55" t="s">
        <v>25</v>
      </c>
    </row>
    <row r="56" spans="1:30" x14ac:dyDescent="0.35">
      <c r="A56" t="s">
        <v>41</v>
      </c>
      <c r="B56" t="s">
        <v>21</v>
      </c>
      <c r="C56" t="s">
        <v>42</v>
      </c>
      <c r="D56">
        <v>0.26</v>
      </c>
      <c r="E56">
        <v>4</v>
      </c>
      <c r="F56" t="s">
        <v>22</v>
      </c>
      <c r="G56" t="s">
        <v>50</v>
      </c>
      <c r="H56" t="s">
        <v>24</v>
      </c>
      <c r="I56" t="s">
        <v>24</v>
      </c>
      <c r="J56" t="s">
        <v>24</v>
      </c>
      <c r="K56" s="2">
        <v>2.25</v>
      </c>
      <c r="L56">
        <v>6</v>
      </c>
      <c r="M56" t="s">
        <v>24</v>
      </c>
      <c r="N56" t="s">
        <v>24</v>
      </c>
      <c r="O56" t="s">
        <v>22</v>
      </c>
      <c r="P56">
        <v>6</v>
      </c>
      <c r="Q56" t="s">
        <v>51</v>
      </c>
      <c r="R56" s="1">
        <v>1452.7770069999999</v>
      </c>
      <c r="S56" s="1">
        <f t="shared" si="0"/>
        <v>749.32673699999987</v>
      </c>
      <c r="T56" s="1">
        <v>2156.227277</v>
      </c>
      <c r="U56" s="1" t="s">
        <v>24</v>
      </c>
      <c r="V56" s="1" t="s">
        <v>24</v>
      </c>
      <c r="W56" s="4" t="s">
        <v>24</v>
      </c>
      <c r="X56" s="1" t="s">
        <v>24</v>
      </c>
      <c r="Y56" s="1" t="s">
        <v>24</v>
      </c>
      <c r="Z56" s="4" t="s">
        <v>24</v>
      </c>
      <c r="AA56" s="1" t="s">
        <v>24</v>
      </c>
      <c r="AB56" s="1" t="s">
        <v>24</v>
      </c>
      <c r="AC56" s="4" t="s">
        <v>24</v>
      </c>
      <c r="AD56" t="s">
        <v>25</v>
      </c>
    </row>
    <row r="57" spans="1:30" x14ac:dyDescent="0.35">
      <c r="A57" t="s">
        <v>41</v>
      </c>
      <c r="B57" t="s">
        <v>21</v>
      </c>
      <c r="C57" t="s">
        <v>42</v>
      </c>
      <c r="D57">
        <v>0.26</v>
      </c>
      <c r="E57">
        <v>4</v>
      </c>
      <c r="F57" t="s">
        <v>22</v>
      </c>
      <c r="G57" t="s">
        <v>50</v>
      </c>
      <c r="H57" t="s">
        <v>24</v>
      </c>
      <c r="I57" t="s">
        <v>24</v>
      </c>
      <c r="J57" t="s">
        <v>24</v>
      </c>
      <c r="K57" s="2">
        <v>2.25</v>
      </c>
      <c r="L57">
        <v>6</v>
      </c>
      <c r="M57" t="s">
        <v>24</v>
      </c>
      <c r="N57" t="s">
        <v>24</v>
      </c>
      <c r="O57" t="s">
        <v>22</v>
      </c>
      <c r="P57">
        <v>6</v>
      </c>
      <c r="Q57" t="s">
        <v>26</v>
      </c>
      <c r="R57" s="1">
        <v>2431.4901719999998</v>
      </c>
      <c r="S57" s="1">
        <f t="shared" si="0"/>
        <v>1728.0404859999994</v>
      </c>
      <c r="T57" s="1">
        <v>3134.9398580000002</v>
      </c>
      <c r="U57" s="1" t="s">
        <v>24</v>
      </c>
      <c r="V57" s="1" t="s">
        <v>24</v>
      </c>
      <c r="W57" s="4" t="s">
        <v>24</v>
      </c>
      <c r="X57" s="1" t="s">
        <v>24</v>
      </c>
      <c r="Y57" s="1" t="s">
        <v>24</v>
      </c>
      <c r="Z57" s="4" t="s">
        <v>24</v>
      </c>
      <c r="AA57" s="1" t="s">
        <v>24</v>
      </c>
      <c r="AB57" s="1" t="s">
        <v>24</v>
      </c>
      <c r="AC57" s="4" t="s">
        <v>24</v>
      </c>
      <c r="AD57" t="s">
        <v>25</v>
      </c>
    </row>
    <row r="58" spans="1:30" x14ac:dyDescent="0.35">
      <c r="A58" t="s">
        <v>41</v>
      </c>
      <c r="B58" t="s">
        <v>21</v>
      </c>
      <c r="C58" t="s">
        <v>42</v>
      </c>
      <c r="D58">
        <v>0.26</v>
      </c>
      <c r="E58">
        <v>4</v>
      </c>
      <c r="F58" t="s">
        <v>22</v>
      </c>
      <c r="G58" t="s">
        <v>50</v>
      </c>
      <c r="H58" t="s">
        <v>24</v>
      </c>
      <c r="I58" t="s">
        <v>24</v>
      </c>
      <c r="J58" t="s">
        <v>24</v>
      </c>
      <c r="K58" s="2">
        <v>2.25</v>
      </c>
      <c r="L58">
        <v>6</v>
      </c>
      <c r="M58" t="s">
        <v>24</v>
      </c>
      <c r="N58" t="s">
        <v>24</v>
      </c>
      <c r="O58" t="s">
        <v>22</v>
      </c>
      <c r="P58">
        <v>6</v>
      </c>
      <c r="Q58" t="s">
        <v>27</v>
      </c>
      <c r="R58" s="1">
        <v>412.8934678</v>
      </c>
      <c r="S58" s="1">
        <f t="shared" si="0"/>
        <v>336.43151999999998</v>
      </c>
      <c r="T58" s="1">
        <v>489.35541560000001</v>
      </c>
      <c r="U58" s="1" t="s">
        <v>24</v>
      </c>
      <c r="V58" s="1" t="s">
        <v>24</v>
      </c>
      <c r="W58" s="4" t="s">
        <v>24</v>
      </c>
      <c r="X58" s="1" t="s">
        <v>24</v>
      </c>
      <c r="Y58" s="1" t="s">
        <v>24</v>
      </c>
      <c r="Z58" s="4" t="s">
        <v>24</v>
      </c>
      <c r="AA58" s="1" t="s">
        <v>24</v>
      </c>
      <c r="AB58" s="1" t="s">
        <v>24</v>
      </c>
      <c r="AC58" s="4" t="s">
        <v>24</v>
      </c>
      <c r="AD58" t="s">
        <v>25</v>
      </c>
    </row>
    <row r="59" spans="1:30" x14ac:dyDescent="0.35">
      <c r="A59" t="s">
        <v>41</v>
      </c>
      <c r="B59" t="s">
        <v>21</v>
      </c>
      <c r="C59" t="s">
        <v>42</v>
      </c>
      <c r="D59">
        <v>0.26</v>
      </c>
      <c r="E59">
        <v>4</v>
      </c>
      <c r="F59" t="s">
        <v>22</v>
      </c>
      <c r="G59" t="s">
        <v>50</v>
      </c>
      <c r="H59" t="s">
        <v>24</v>
      </c>
      <c r="I59" t="s">
        <v>24</v>
      </c>
      <c r="J59" t="s">
        <v>24</v>
      </c>
      <c r="K59" s="2">
        <v>2.25</v>
      </c>
      <c r="L59">
        <v>6</v>
      </c>
      <c r="M59" t="s">
        <v>24</v>
      </c>
      <c r="N59" t="s">
        <v>24</v>
      </c>
      <c r="O59" t="s">
        <v>22</v>
      </c>
      <c r="P59">
        <v>6</v>
      </c>
      <c r="Q59" t="s">
        <v>52</v>
      </c>
      <c r="R59" s="1">
        <v>2492.6593800000001</v>
      </c>
      <c r="S59" s="1">
        <f t="shared" si="0"/>
        <v>1682.1622670000002</v>
      </c>
      <c r="T59" s="1">
        <v>3303.156493</v>
      </c>
      <c r="U59" s="1" t="s">
        <v>24</v>
      </c>
      <c r="V59" s="1" t="s">
        <v>24</v>
      </c>
      <c r="W59" s="4" t="s">
        <v>24</v>
      </c>
      <c r="X59" s="1" t="s">
        <v>24</v>
      </c>
      <c r="Y59" s="1" t="s">
        <v>24</v>
      </c>
      <c r="Z59" s="4" t="s">
        <v>24</v>
      </c>
      <c r="AA59" s="1" t="s">
        <v>24</v>
      </c>
      <c r="AB59" s="1" t="s">
        <v>24</v>
      </c>
      <c r="AC59" s="4" t="s">
        <v>24</v>
      </c>
      <c r="AD59" t="s">
        <v>25</v>
      </c>
    </row>
    <row r="60" spans="1:30" x14ac:dyDescent="0.35">
      <c r="A60" t="s">
        <v>41</v>
      </c>
      <c r="B60" t="s">
        <v>21</v>
      </c>
      <c r="C60" t="s">
        <v>42</v>
      </c>
      <c r="D60">
        <v>0.26</v>
      </c>
      <c r="E60">
        <v>4</v>
      </c>
      <c r="F60" t="s">
        <v>22</v>
      </c>
      <c r="G60" t="s">
        <v>50</v>
      </c>
      <c r="H60" t="s">
        <v>24</v>
      </c>
      <c r="I60" t="s">
        <v>24</v>
      </c>
      <c r="J60" t="s">
        <v>24</v>
      </c>
      <c r="K60" s="2">
        <v>2.25</v>
      </c>
      <c r="L60">
        <v>6</v>
      </c>
      <c r="M60" t="s">
        <v>24</v>
      </c>
      <c r="N60" t="s">
        <v>24</v>
      </c>
      <c r="O60" t="s">
        <v>22</v>
      </c>
      <c r="P60">
        <v>6</v>
      </c>
      <c r="Q60" t="s">
        <v>53</v>
      </c>
      <c r="R60" s="1">
        <v>565.81736330000001</v>
      </c>
      <c r="S60" s="1">
        <f t="shared" si="0"/>
        <v>443.4771968</v>
      </c>
      <c r="T60" s="1">
        <v>688.15752980000002</v>
      </c>
      <c r="U60" s="1" t="s">
        <v>24</v>
      </c>
      <c r="V60" s="1" t="s">
        <v>24</v>
      </c>
      <c r="W60" s="4" t="s">
        <v>24</v>
      </c>
      <c r="X60" s="1" t="s">
        <v>24</v>
      </c>
      <c r="Y60" s="1" t="s">
        <v>24</v>
      </c>
      <c r="Z60" s="4" t="s">
        <v>24</v>
      </c>
      <c r="AA60" s="1" t="s">
        <v>24</v>
      </c>
      <c r="AB60" s="1" t="s">
        <v>24</v>
      </c>
      <c r="AC60" s="4" t="s">
        <v>24</v>
      </c>
      <c r="AD60" t="s">
        <v>25</v>
      </c>
    </row>
    <row r="61" spans="1:30" x14ac:dyDescent="0.35">
      <c r="A61" t="s">
        <v>41</v>
      </c>
      <c r="B61" t="s">
        <v>21</v>
      </c>
      <c r="C61" t="s">
        <v>42</v>
      </c>
      <c r="D61">
        <v>0.26</v>
      </c>
      <c r="E61">
        <v>4</v>
      </c>
      <c r="F61" t="s">
        <v>22</v>
      </c>
      <c r="G61" t="s">
        <v>50</v>
      </c>
      <c r="H61" t="s">
        <v>24</v>
      </c>
      <c r="I61" t="s">
        <v>24</v>
      </c>
      <c r="J61" t="s">
        <v>24</v>
      </c>
      <c r="K61" s="2">
        <v>2.25</v>
      </c>
      <c r="L61">
        <v>6</v>
      </c>
      <c r="M61" t="s">
        <v>24</v>
      </c>
      <c r="N61" t="s">
        <v>24</v>
      </c>
      <c r="O61" t="s">
        <v>22</v>
      </c>
      <c r="P61">
        <v>6</v>
      </c>
      <c r="Q61" t="s">
        <v>54</v>
      </c>
      <c r="R61" s="1">
        <v>351.72484300000002</v>
      </c>
      <c r="S61" s="1">
        <f t="shared" si="0"/>
        <v>259.97015570000002</v>
      </c>
      <c r="T61" s="1">
        <v>443.47953030000002</v>
      </c>
      <c r="U61" s="1" t="s">
        <v>24</v>
      </c>
      <c r="V61" s="1" t="s">
        <v>24</v>
      </c>
      <c r="W61" s="4" t="s">
        <v>24</v>
      </c>
      <c r="X61" s="1" t="s">
        <v>24</v>
      </c>
      <c r="Y61" s="1" t="s">
        <v>24</v>
      </c>
      <c r="Z61" s="4" t="s">
        <v>24</v>
      </c>
      <c r="AA61" s="1" t="s">
        <v>24</v>
      </c>
      <c r="AB61" s="1" t="s">
        <v>24</v>
      </c>
      <c r="AC61" s="4" t="s">
        <v>24</v>
      </c>
      <c r="AD61" t="s">
        <v>25</v>
      </c>
    </row>
    <row r="62" spans="1:30" x14ac:dyDescent="0.35">
      <c r="A62" t="s">
        <v>41</v>
      </c>
      <c r="B62" t="s">
        <v>21</v>
      </c>
      <c r="C62" t="s">
        <v>42</v>
      </c>
      <c r="D62">
        <v>0.26</v>
      </c>
      <c r="E62">
        <v>4</v>
      </c>
      <c r="F62" t="s">
        <v>22</v>
      </c>
      <c r="G62" t="s">
        <v>50</v>
      </c>
      <c r="H62" t="s">
        <v>24</v>
      </c>
      <c r="I62" t="s">
        <v>24</v>
      </c>
      <c r="J62" t="s">
        <v>24</v>
      </c>
      <c r="K62" s="2">
        <v>2.25</v>
      </c>
      <c r="L62">
        <v>6</v>
      </c>
      <c r="M62" t="s">
        <v>24</v>
      </c>
      <c r="N62" t="s">
        <v>24</v>
      </c>
      <c r="O62" t="s">
        <v>22</v>
      </c>
      <c r="P62">
        <v>6</v>
      </c>
      <c r="Q62" t="s">
        <v>55</v>
      </c>
      <c r="R62" s="1">
        <v>550.52637379999999</v>
      </c>
      <c r="S62" s="1">
        <f t="shared" si="0"/>
        <v>443.48011359999998</v>
      </c>
      <c r="T62" s="1">
        <v>657.57263399999999</v>
      </c>
      <c r="U62" s="1" t="s">
        <v>24</v>
      </c>
      <c r="V62" s="1" t="s">
        <v>24</v>
      </c>
      <c r="W62" s="4" t="s">
        <v>24</v>
      </c>
      <c r="X62" s="1" t="s">
        <v>24</v>
      </c>
      <c r="Y62" s="1" t="s">
        <v>24</v>
      </c>
      <c r="Z62" s="4" t="s">
        <v>24</v>
      </c>
      <c r="AA62" s="1" t="s">
        <v>24</v>
      </c>
      <c r="AB62" s="1" t="s">
        <v>24</v>
      </c>
      <c r="AC62" s="4" t="s">
        <v>24</v>
      </c>
      <c r="AD62" t="s">
        <v>25</v>
      </c>
    </row>
    <row r="63" spans="1:30" x14ac:dyDescent="0.35">
      <c r="A63" t="s">
        <v>41</v>
      </c>
      <c r="B63" t="s">
        <v>21</v>
      </c>
      <c r="C63" t="s">
        <v>42</v>
      </c>
      <c r="D63">
        <v>0.26</v>
      </c>
      <c r="E63">
        <v>4</v>
      </c>
      <c r="F63" t="s">
        <v>22</v>
      </c>
      <c r="G63" t="s">
        <v>50</v>
      </c>
      <c r="H63" t="s">
        <v>24</v>
      </c>
      <c r="I63" t="s">
        <v>24</v>
      </c>
      <c r="J63" t="s">
        <v>24</v>
      </c>
      <c r="K63" s="2">
        <v>2.25</v>
      </c>
      <c r="L63">
        <v>6</v>
      </c>
      <c r="M63" t="s">
        <v>24</v>
      </c>
      <c r="N63" t="s">
        <v>24</v>
      </c>
      <c r="O63" t="s">
        <v>22</v>
      </c>
      <c r="P63">
        <v>6</v>
      </c>
      <c r="Q63" t="s">
        <v>56</v>
      </c>
      <c r="R63" s="1">
        <v>244.6779995</v>
      </c>
      <c r="S63" s="1">
        <f t="shared" si="0"/>
        <v>229.38584329999998</v>
      </c>
      <c r="T63" s="1">
        <v>259.97015570000002</v>
      </c>
      <c r="U63" s="1" t="s">
        <v>24</v>
      </c>
      <c r="V63" s="1" t="s">
        <v>24</v>
      </c>
      <c r="W63" s="4" t="s">
        <v>24</v>
      </c>
      <c r="X63" s="1" t="s">
        <v>24</v>
      </c>
      <c r="Y63" s="1" t="s">
        <v>24</v>
      </c>
      <c r="Z63" s="4" t="s">
        <v>24</v>
      </c>
      <c r="AA63" s="1" t="s">
        <v>24</v>
      </c>
      <c r="AB63" s="1" t="s">
        <v>24</v>
      </c>
      <c r="AC63" s="4" t="s">
        <v>24</v>
      </c>
      <c r="AD63" t="s">
        <v>25</v>
      </c>
    </row>
    <row r="64" spans="1:30" x14ac:dyDescent="0.35">
      <c r="A64" t="s">
        <v>41</v>
      </c>
      <c r="B64" t="s">
        <v>21</v>
      </c>
      <c r="C64" t="s">
        <v>42</v>
      </c>
      <c r="D64">
        <v>0.26</v>
      </c>
      <c r="E64">
        <v>4</v>
      </c>
      <c r="F64" t="s">
        <v>22</v>
      </c>
      <c r="G64" t="s">
        <v>50</v>
      </c>
      <c r="H64" t="s">
        <v>24</v>
      </c>
      <c r="I64" t="s">
        <v>24</v>
      </c>
      <c r="J64" t="s">
        <v>24</v>
      </c>
      <c r="K64" s="2">
        <v>2.25</v>
      </c>
      <c r="L64">
        <v>6</v>
      </c>
      <c r="M64" t="s">
        <v>24</v>
      </c>
      <c r="N64" t="s">
        <v>24</v>
      </c>
      <c r="O64" t="s">
        <v>22</v>
      </c>
      <c r="P64">
        <v>6</v>
      </c>
      <c r="Q64" t="s">
        <v>57</v>
      </c>
      <c r="R64" s="1">
        <v>1590.4087469999999</v>
      </c>
      <c r="S64" s="1">
        <f t="shared" si="0"/>
        <v>1284.5609559999998</v>
      </c>
      <c r="T64" s="1">
        <v>1896.2565380000001</v>
      </c>
      <c r="U64" s="1" t="s">
        <v>24</v>
      </c>
      <c r="V64" s="1" t="s">
        <v>24</v>
      </c>
      <c r="W64" s="4" t="s">
        <v>24</v>
      </c>
      <c r="X64" s="1" t="s">
        <v>24</v>
      </c>
      <c r="Y64" s="1" t="s">
        <v>24</v>
      </c>
      <c r="Z64" s="4" t="s">
        <v>24</v>
      </c>
      <c r="AA64" s="1" t="s">
        <v>24</v>
      </c>
      <c r="AB64" s="1" t="s">
        <v>24</v>
      </c>
      <c r="AC64" s="4" t="s">
        <v>24</v>
      </c>
      <c r="AD64" t="s">
        <v>25</v>
      </c>
    </row>
    <row r="65" spans="1:30" x14ac:dyDescent="0.35">
      <c r="A65" t="s">
        <v>41</v>
      </c>
      <c r="B65" t="s">
        <v>21</v>
      </c>
      <c r="C65" t="s">
        <v>42</v>
      </c>
      <c r="D65">
        <v>0.26</v>
      </c>
      <c r="E65">
        <v>4</v>
      </c>
      <c r="F65" t="s">
        <v>22</v>
      </c>
      <c r="G65" t="s">
        <v>50</v>
      </c>
      <c r="H65" t="s">
        <v>24</v>
      </c>
      <c r="I65" t="s">
        <v>24</v>
      </c>
      <c r="J65" t="s">
        <v>24</v>
      </c>
      <c r="K65" s="2">
        <v>2.25</v>
      </c>
      <c r="L65">
        <v>6</v>
      </c>
      <c r="M65" t="s">
        <v>24</v>
      </c>
      <c r="N65" t="s">
        <v>24</v>
      </c>
      <c r="O65" t="s">
        <v>22</v>
      </c>
      <c r="P65">
        <v>6</v>
      </c>
      <c r="Q65" t="s">
        <v>58</v>
      </c>
      <c r="R65" s="1">
        <v>932.83611259999998</v>
      </c>
      <c r="S65" s="1">
        <f t="shared" si="0"/>
        <v>397.60247819999995</v>
      </c>
      <c r="T65" s="1">
        <v>1468.069747</v>
      </c>
      <c r="U65" s="1" t="s">
        <v>24</v>
      </c>
      <c r="V65" s="1" t="s">
        <v>24</v>
      </c>
      <c r="W65" s="4" t="s">
        <v>24</v>
      </c>
      <c r="X65" s="1" t="s">
        <v>24</v>
      </c>
      <c r="Y65" s="1" t="s">
        <v>24</v>
      </c>
      <c r="Z65" s="4" t="s">
        <v>24</v>
      </c>
      <c r="AA65" s="1" t="s">
        <v>24</v>
      </c>
      <c r="AB65" s="1" t="s">
        <v>24</v>
      </c>
      <c r="AC65" s="4" t="s">
        <v>24</v>
      </c>
      <c r="AD65" t="s">
        <v>25</v>
      </c>
    </row>
    <row r="66" spans="1:30" x14ac:dyDescent="0.35">
      <c r="A66" t="s">
        <v>41</v>
      </c>
      <c r="B66" t="s">
        <v>21</v>
      </c>
      <c r="C66" t="s">
        <v>42</v>
      </c>
      <c r="D66">
        <v>0.26</v>
      </c>
      <c r="E66">
        <v>4</v>
      </c>
      <c r="F66" t="s">
        <v>22</v>
      </c>
      <c r="G66" t="s">
        <v>50</v>
      </c>
      <c r="H66" t="s">
        <v>24</v>
      </c>
      <c r="I66" t="s">
        <v>24</v>
      </c>
      <c r="J66" t="s">
        <v>24</v>
      </c>
      <c r="K66" s="2">
        <v>2.25</v>
      </c>
      <c r="L66">
        <v>6</v>
      </c>
      <c r="M66" t="s">
        <v>24</v>
      </c>
      <c r="N66" t="s">
        <v>24</v>
      </c>
      <c r="O66" t="s">
        <v>22</v>
      </c>
      <c r="P66">
        <v>6</v>
      </c>
      <c r="Q66" t="s">
        <v>59</v>
      </c>
      <c r="R66" s="1">
        <v>565.81736330000001</v>
      </c>
      <c r="S66" s="1">
        <f t="shared" si="0"/>
        <v>443.4771968</v>
      </c>
      <c r="T66" s="1">
        <v>688.15752980000002</v>
      </c>
      <c r="U66" s="1" t="s">
        <v>24</v>
      </c>
      <c r="V66" s="1" t="s">
        <v>24</v>
      </c>
      <c r="W66" s="4" t="s">
        <v>24</v>
      </c>
      <c r="X66" s="1" t="s">
        <v>24</v>
      </c>
      <c r="Y66" s="1" t="s">
        <v>24</v>
      </c>
      <c r="Z66" s="4" t="s">
        <v>24</v>
      </c>
      <c r="AA66" s="1" t="s">
        <v>24</v>
      </c>
      <c r="AB66" s="1" t="s">
        <v>24</v>
      </c>
      <c r="AC66" s="4" t="s">
        <v>24</v>
      </c>
      <c r="AD66" t="s">
        <v>25</v>
      </c>
    </row>
    <row r="67" spans="1:30" x14ac:dyDescent="0.35">
      <c r="A67" t="s">
        <v>41</v>
      </c>
      <c r="B67" t="s">
        <v>21</v>
      </c>
      <c r="C67" t="s">
        <v>42</v>
      </c>
      <c r="D67">
        <v>0.26</v>
      </c>
      <c r="E67">
        <v>4</v>
      </c>
      <c r="F67" t="s">
        <v>22</v>
      </c>
      <c r="G67" t="s">
        <v>50</v>
      </c>
      <c r="H67" t="s">
        <v>24</v>
      </c>
      <c r="I67" t="s">
        <v>24</v>
      </c>
      <c r="J67" t="s">
        <v>24</v>
      </c>
      <c r="K67" s="2">
        <v>2.25</v>
      </c>
      <c r="L67">
        <v>6</v>
      </c>
      <c r="M67" t="s">
        <v>24</v>
      </c>
      <c r="N67" t="s">
        <v>24</v>
      </c>
      <c r="O67" t="s">
        <v>22</v>
      </c>
      <c r="P67">
        <v>6</v>
      </c>
      <c r="Q67" t="s">
        <v>60</v>
      </c>
      <c r="R67" s="1">
        <v>856.37416480000002</v>
      </c>
      <c r="S67" s="1">
        <f t="shared" si="0"/>
        <v>718.74300879999998</v>
      </c>
      <c r="T67" s="1">
        <v>994.00532080000005</v>
      </c>
      <c r="U67" s="1" t="s">
        <v>24</v>
      </c>
      <c r="V67" s="1" t="s">
        <v>24</v>
      </c>
      <c r="W67" s="4" t="s">
        <v>24</v>
      </c>
      <c r="X67" s="1" t="s">
        <v>24</v>
      </c>
      <c r="Y67" s="1" t="s">
        <v>24</v>
      </c>
      <c r="Z67" s="4" t="s">
        <v>24</v>
      </c>
      <c r="AA67" s="1" t="s">
        <v>24</v>
      </c>
      <c r="AB67" s="1" t="s">
        <v>24</v>
      </c>
      <c r="AC67" s="4" t="s">
        <v>24</v>
      </c>
      <c r="AD67" t="s">
        <v>25</v>
      </c>
    </row>
    <row r="68" spans="1:30" x14ac:dyDescent="0.35">
      <c r="A68" t="s">
        <v>41</v>
      </c>
      <c r="B68" t="s">
        <v>21</v>
      </c>
      <c r="C68" t="s">
        <v>42</v>
      </c>
      <c r="D68">
        <v>0.26</v>
      </c>
      <c r="E68">
        <v>4</v>
      </c>
      <c r="F68" t="s">
        <v>22</v>
      </c>
      <c r="G68" t="s">
        <v>50</v>
      </c>
      <c r="H68" t="s">
        <v>24</v>
      </c>
      <c r="I68" t="s">
        <v>24</v>
      </c>
      <c r="J68" t="s">
        <v>24</v>
      </c>
      <c r="K68" s="2">
        <v>2.25</v>
      </c>
      <c r="L68">
        <v>6</v>
      </c>
      <c r="M68" t="s">
        <v>24</v>
      </c>
      <c r="N68" t="s">
        <v>24</v>
      </c>
      <c r="O68" t="s">
        <v>22</v>
      </c>
      <c r="P68">
        <v>6</v>
      </c>
      <c r="Q68" t="s">
        <v>70</v>
      </c>
      <c r="R68" s="1">
        <v>10971.45918</v>
      </c>
      <c r="S68" s="1">
        <f t="shared" si="0"/>
        <v>6755.6973299999991</v>
      </c>
      <c r="T68" s="1">
        <v>15187.221030000001</v>
      </c>
      <c r="U68" s="1" t="s">
        <v>24</v>
      </c>
      <c r="V68" s="1" t="s">
        <v>24</v>
      </c>
      <c r="W68" s="4" t="s">
        <v>24</v>
      </c>
      <c r="X68" s="1" t="s">
        <v>24</v>
      </c>
      <c r="Y68" s="1" t="s">
        <v>24</v>
      </c>
      <c r="Z68" s="4" t="s">
        <v>24</v>
      </c>
      <c r="AA68" s="1" t="s">
        <v>24</v>
      </c>
      <c r="AB68" s="1" t="s">
        <v>24</v>
      </c>
      <c r="AC68" s="4" t="s">
        <v>24</v>
      </c>
      <c r="AD68" t="s">
        <v>25</v>
      </c>
    </row>
    <row r="69" spans="1:30" hidden="1" x14ac:dyDescent="0.35">
      <c r="A69" t="s">
        <v>41</v>
      </c>
      <c r="B69" t="s">
        <v>21</v>
      </c>
      <c r="C69" t="s">
        <v>42</v>
      </c>
      <c r="D69">
        <v>0.26</v>
      </c>
      <c r="E69">
        <v>4</v>
      </c>
      <c r="F69" t="s">
        <v>22</v>
      </c>
      <c r="G69" t="s">
        <v>29</v>
      </c>
      <c r="H69" t="s">
        <v>61</v>
      </c>
      <c r="I69" t="s">
        <v>24</v>
      </c>
      <c r="J69" t="s">
        <v>24</v>
      </c>
      <c r="K69" s="2" t="s">
        <v>24</v>
      </c>
      <c r="L69" t="s">
        <v>24</v>
      </c>
      <c r="M69" t="s">
        <v>20</v>
      </c>
      <c r="N69">
        <v>4.5</v>
      </c>
      <c r="O69" t="s">
        <v>24</v>
      </c>
      <c r="P69" t="s">
        <v>24</v>
      </c>
      <c r="Q69" t="s">
        <v>24</v>
      </c>
      <c r="R69" s="1" t="s">
        <v>24</v>
      </c>
      <c r="S69" s="1" t="s">
        <v>24</v>
      </c>
      <c r="T69" s="1" t="s">
        <v>24</v>
      </c>
      <c r="U69" s="1" t="s">
        <v>24</v>
      </c>
      <c r="V69" s="1" t="s">
        <v>24</v>
      </c>
      <c r="W69" s="4" t="s">
        <v>24</v>
      </c>
      <c r="X69" s="1" t="s">
        <v>24</v>
      </c>
      <c r="Y69" s="1" t="s">
        <v>24</v>
      </c>
      <c r="Z69" s="4" t="s">
        <v>24</v>
      </c>
      <c r="AA69" s="1" t="s">
        <v>24</v>
      </c>
      <c r="AB69" s="1" t="s">
        <v>24</v>
      </c>
      <c r="AC69" s="4" t="s">
        <v>24</v>
      </c>
      <c r="AD69" t="s">
        <v>25</v>
      </c>
    </row>
    <row r="70" spans="1:30" hidden="1" x14ac:dyDescent="0.35">
      <c r="A70" t="s">
        <v>41</v>
      </c>
      <c r="B70" t="s">
        <v>21</v>
      </c>
      <c r="C70" t="s">
        <v>42</v>
      </c>
      <c r="D70">
        <v>0.26</v>
      </c>
      <c r="E70">
        <v>4</v>
      </c>
      <c r="F70" t="s">
        <v>22</v>
      </c>
      <c r="G70" t="s">
        <v>29</v>
      </c>
      <c r="H70" t="s">
        <v>61</v>
      </c>
      <c r="I70" t="s">
        <v>24</v>
      </c>
      <c r="J70" t="s">
        <v>24</v>
      </c>
      <c r="K70" s="2" t="s">
        <v>24</v>
      </c>
      <c r="L70" t="s">
        <v>24</v>
      </c>
      <c r="M70" t="s">
        <v>43</v>
      </c>
      <c r="N70">
        <v>46.1</v>
      </c>
      <c r="O70" t="s">
        <v>24</v>
      </c>
      <c r="P70" t="s">
        <v>24</v>
      </c>
      <c r="Q70" t="s">
        <v>24</v>
      </c>
      <c r="R70" s="1" t="s">
        <v>24</v>
      </c>
      <c r="S70" s="1" t="s">
        <v>24</v>
      </c>
      <c r="T70" s="1" t="s">
        <v>24</v>
      </c>
      <c r="U70" s="1" t="s">
        <v>24</v>
      </c>
      <c r="V70" s="1" t="s">
        <v>24</v>
      </c>
      <c r="W70" s="4" t="s">
        <v>24</v>
      </c>
      <c r="X70" s="1" t="s">
        <v>24</v>
      </c>
      <c r="Y70" s="1" t="s">
        <v>24</v>
      </c>
      <c r="Z70" s="4" t="s">
        <v>24</v>
      </c>
      <c r="AA70" s="1" t="s">
        <v>24</v>
      </c>
      <c r="AB70" s="1" t="s">
        <v>24</v>
      </c>
      <c r="AC70" s="4" t="s">
        <v>24</v>
      </c>
      <c r="AD70" t="s">
        <v>37</v>
      </c>
    </row>
    <row r="71" spans="1:30" hidden="1" x14ac:dyDescent="0.35">
      <c r="A71" t="s">
        <v>41</v>
      </c>
      <c r="B71" t="s">
        <v>21</v>
      </c>
      <c r="C71" t="s">
        <v>42</v>
      </c>
      <c r="D71">
        <v>0.26</v>
      </c>
      <c r="E71">
        <v>4</v>
      </c>
      <c r="F71" t="s">
        <v>22</v>
      </c>
      <c r="G71" t="s">
        <v>29</v>
      </c>
      <c r="H71" t="s">
        <v>61</v>
      </c>
      <c r="I71" t="s">
        <v>24</v>
      </c>
      <c r="J71" t="s">
        <v>24</v>
      </c>
      <c r="K71" s="2" t="s">
        <v>24</v>
      </c>
      <c r="L71" t="s">
        <v>24</v>
      </c>
      <c r="M71" t="s">
        <v>34</v>
      </c>
      <c r="N71">
        <v>1696</v>
      </c>
      <c r="O71" t="s">
        <v>24</v>
      </c>
      <c r="P71" t="s">
        <v>24</v>
      </c>
      <c r="Q71" t="s">
        <v>24</v>
      </c>
      <c r="R71" s="1" t="s">
        <v>24</v>
      </c>
      <c r="S71" s="1" t="s">
        <v>24</v>
      </c>
      <c r="T71" s="1" t="s">
        <v>24</v>
      </c>
      <c r="U71" s="1" t="s">
        <v>24</v>
      </c>
      <c r="V71" s="1" t="s">
        <v>24</v>
      </c>
      <c r="W71" s="4" t="s">
        <v>24</v>
      </c>
      <c r="X71" s="1" t="s">
        <v>24</v>
      </c>
      <c r="Y71" s="1" t="s">
        <v>24</v>
      </c>
      <c r="Z71" s="4" t="s">
        <v>24</v>
      </c>
      <c r="AA71" s="1" t="s">
        <v>24</v>
      </c>
      <c r="AB71" s="1" t="s">
        <v>24</v>
      </c>
      <c r="AC71" s="4" t="s">
        <v>24</v>
      </c>
      <c r="AD71" t="s">
        <v>35</v>
      </c>
    </row>
    <row r="72" spans="1:30" hidden="1" x14ac:dyDescent="0.35">
      <c r="A72" t="s">
        <v>41</v>
      </c>
      <c r="B72" t="s">
        <v>21</v>
      </c>
      <c r="C72" t="s">
        <v>42</v>
      </c>
      <c r="D72">
        <v>0.26</v>
      </c>
      <c r="E72">
        <v>4</v>
      </c>
      <c r="F72" t="s">
        <v>22</v>
      </c>
      <c r="G72" t="s">
        <v>29</v>
      </c>
      <c r="H72" t="s">
        <v>61</v>
      </c>
      <c r="I72" t="s">
        <v>24</v>
      </c>
      <c r="J72" t="s">
        <v>24</v>
      </c>
      <c r="K72" s="2" t="s">
        <v>24</v>
      </c>
      <c r="L72" t="s">
        <v>24</v>
      </c>
      <c r="M72" t="s">
        <v>62</v>
      </c>
      <c r="N72">
        <v>189.9</v>
      </c>
      <c r="O72" t="s">
        <v>24</v>
      </c>
      <c r="P72" t="s">
        <v>24</v>
      </c>
      <c r="Q72" t="s">
        <v>24</v>
      </c>
      <c r="R72" s="1" t="s">
        <v>24</v>
      </c>
      <c r="S72" s="1" t="s">
        <v>24</v>
      </c>
      <c r="T72" s="1" t="s">
        <v>24</v>
      </c>
      <c r="U72" s="1" t="s">
        <v>24</v>
      </c>
      <c r="V72" s="1" t="s">
        <v>24</v>
      </c>
      <c r="W72" s="4" t="s">
        <v>24</v>
      </c>
      <c r="X72" s="1" t="s">
        <v>24</v>
      </c>
      <c r="Y72" s="1" t="s">
        <v>24</v>
      </c>
      <c r="Z72" s="4" t="s">
        <v>24</v>
      </c>
      <c r="AA72" s="1" t="s">
        <v>24</v>
      </c>
      <c r="AB72" s="1" t="s">
        <v>24</v>
      </c>
      <c r="AC72" s="4" t="s">
        <v>24</v>
      </c>
      <c r="AD72" t="s">
        <v>45</v>
      </c>
    </row>
    <row r="73" spans="1:30" hidden="1" x14ac:dyDescent="0.35">
      <c r="A73" t="s">
        <v>41</v>
      </c>
      <c r="B73" t="s">
        <v>21</v>
      </c>
      <c r="C73" t="s">
        <v>42</v>
      </c>
      <c r="D73">
        <v>0.26</v>
      </c>
      <c r="E73">
        <v>4</v>
      </c>
      <c r="F73" t="s">
        <v>22</v>
      </c>
      <c r="G73" t="s">
        <v>29</v>
      </c>
      <c r="H73" t="s">
        <v>61</v>
      </c>
      <c r="I73" t="s">
        <v>24</v>
      </c>
      <c r="J73" t="s">
        <v>24</v>
      </c>
      <c r="K73" s="2" t="s">
        <v>24</v>
      </c>
      <c r="L73" t="s">
        <v>24</v>
      </c>
      <c r="M73" t="s">
        <v>63</v>
      </c>
      <c r="N73">
        <v>4308</v>
      </c>
      <c r="O73" t="s">
        <v>24</v>
      </c>
      <c r="P73" t="s">
        <v>24</v>
      </c>
      <c r="Q73" t="s">
        <v>24</v>
      </c>
      <c r="R73" s="1" t="s">
        <v>24</v>
      </c>
      <c r="S73" s="1" t="s">
        <v>24</v>
      </c>
      <c r="T73" s="1" t="s">
        <v>24</v>
      </c>
      <c r="U73" s="1" t="s">
        <v>24</v>
      </c>
      <c r="V73" s="1" t="s">
        <v>24</v>
      </c>
      <c r="W73" s="4" t="s">
        <v>24</v>
      </c>
      <c r="X73" s="1" t="s">
        <v>24</v>
      </c>
      <c r="Y73" s="1" t="s">
        <v>24</v>
      </c>
      <c r="Z73" s="4" t="s">
        <v>24</v>
      </c>
      <c r="AA73" s="1" t="s">
        <v>24</v>
      </c>
      <c r="AB73" s="1" t="s">
        <v>24</v>
      </c>
      <c r="AC73" s="4" t="s">
        <v>24</v>
      </c>
      <c r="AD73" t="s">
        <v>47</v>
      </c>
    </row>
    <row r="74" spans="1:30" hidden="1" x14ac:dyDescent="0.35">
      <c r="A74" t="s">
        <v>41</v>
      </c>
      <c r="B74" t="s">
        <v>21</v>
      </c>
      <c r="C74" t="s">
        <v>42</v>
      </c>
      <c r="D74">
        <v>0.26</v>
      </c>
      <c r="E74">
        <v>4</v>
      </c>
      <c r="F74" t="s">
        <v>22</v>
      </c>
      <c r="G74" t="s">
        <v>29</v>
      </c>
      <c r="H74" t="s">
        <v>61</v>
      </c>
      <c r="I74" t="s">
        <v>24</v>
      </c>
      <c r="J74" t="s">
        <v>24</v>
      </c>
      <c r="K74" s="2" t="s">
        <v>24</v>
      </c>
      <c r="L74" t="s">
        <v>24</v>
      </c>
      <c r="M74" t="s">
        <v>64</v>
      </c>
      <c r="N74">
        <v>2.7</v>
      </c>
      <c r="O74" t="s">
        <v>24</v>
      </c>
      <c r="P74" t="s">
        <v>24</v>
      </c>
      <c r="Q74" t="s">
        <v>24</v>
      </c>
      <c r="R74" s="1" t="s">
        <v>24</v>
      </c>
      <c r="S74" s="1" t="s">
        <v>24</v>
      </c>
      <c r="T74" s="1" t="s">
        <v>24</v>
      </c>
      <c r="U74" s="1" t="s">
        <v>24</v>
      </c>
      <c r="V74" s="1" t="s">
        <v>24</v>
      </c>
      <c r="W74" s="4" t="s">
        <v>24</v>
      </c>
      <c r="X74" s="1" t="s">
        <v>24</v>
      </c>
      <c r="Y74" s="1" t="s">
        <v>24</v>
      </c>
      <c r="Z74" s="4" t="s">
        <v>24</v>
      </c>
      <c r="AA74" s="1" t="s">
        <v>24</v>
      </c>
      <c r="AB74" s="1" t="s">
        <v>24</v>
      </c>
      <c r="AC74" s="4" t="s">
        <v>24</v>
      </c>
      <c r="AD74" t="s">
        <v>24</v>
      </c>
    </row>
    <row r="75" spans="1:30" hidden="1" x14ac:dyDescent="0.35">
      <c r="A75" t="s">
        <v>41</v>
      </c>
      <c r="B75" t="s">
        <v>21</v>
      </c>
      <c r="C75" t="s">
        <v>42</v>
      </c>
      <c r="D75">
        <v>0.26</v>
      </c>
      <c r="E75">
        <v>4</v>
      </c>
      <c r="F75" t="s">
        <v>22</v>
      </c>
      <c r="G75" t="s">
        <v>29</v>
      </c>
      <c r="H75" t="s">
        <v>61</v>
      </c>
      <c r="I75" t="s">
        <v>65</v>
      </c>
      <c r="J75">
        <v>8</v>
      </c>
      <c r="K75" s="2" t="s">
        <v>24</v>
      </c>
      <c r="L75" t="s">
        <v>24</v>
      </c>
      <c r="M75" t="s">
        <v>24</v>
      </c>
      <c r="N75" t="s">
        <v>24</v>
      </c>
      <c r="O75" t="s">
        <v>22</v>
      </c>
      <c r="P75">
        <v>0</v>
      </c>
      <c r="Q75" t="s">
        <v>39</v>
      </c>
      <c r="R75" s="1">
        <v>1.911948011</v>
      </c>
      <c r="S75" s="1">
        <v>1.166385134</v>
      </c>
      <c r="T75" s="1">
        <v>3.3777733790000002</v>
      </c>
      <c r="U75" s="1" t="s">
        <v>24</v>
      </c>
      <c r="V75" s="1" t="s">
        <v>24</v>
      </c>
      <c r="W75" s="4" t="s">
        <v>24</v>
      </c>
      <c r="X75" s="1" t="s">
        <v>24</v>
      </c>
      <c r="Y75" s="1" t="s">
        <v>24</v>
      </c>
      <c r="Z75" s="4" t="s">
        <v>24</v>
      </c>
      <c r="AA75" s="1" t="s">
        <v>24</v>
      </c>
      <c r="AB75" s="1" t="s">
        <v>24</v>
      </c>
      <c r="AC75" s="4" t="s">
        <v>24</v>
      </c>
      <c r="AD75" t="s">
        <v>25</v>
      </c>
    </row>
    <row r="76" spans="1:30" hidden="1" x14ac:dyDescent="0.35">
      <c r="A76" t="s">
        <v>41</v>
      </c>
      <c r="B76" t="s">
        <v>21</v>
      </c>
      <c r="C76" t="s">
        <v>42</v>
      </c>
      <c r="D76">
        <v>0.26</v>
      </c>
      <c r="E76">
        <v>4</v>
      </c>
      <c r="F76" t="s">
        <v>22</v>
      </c>
      <c r="G76" t="s">
        <v>29</v>
      </c>
      <c r="H76" t="s">
        <v>61</v>
      </c>
      <c r="I76" t="s">
        <v>65</v>
      </c>
      <c r="J76">
        <v>8</v>
      </c>
      <c r="K76" s="2" t="s">
        <v>24</v>
      </c>
      <c r="L76" t="s">
        <v>24</v>
      </c>
      <c r="M76" t="s">
        <v>24</v>
      </c>
      <c r="N76" t="s">
        <v>24</v>
      </c>
      <c r="O76" t="s">
        <v>22</v>
      </c>
      <c r="P76">
        <v>0.08</v>
      </c>
      <c r="Q76" t="s">
        <v>39</v>
      </c>
      <c r="R76" s="1">
        <v>3.1813697580000002</v>
      </c>
      <c r="S76" s="1">
        <v>1.5272674660000001</v>
      </c>
      <c r="T76" s="1">
        <v>4.695912474</v>
      </c>
      <c r="U76" s="1" t="s">
        <v>24</v>
      </c>
      <c r="V76" s="1" t="s">
        <v>24</v>
      </c>
      <c r="W76" s="4" t="s">
        <v>24</v>
      </c>
      <c r="X76" s="1" t="s">
        <v>24</v>
      </c>
      <c r="Y76" s="1" t="s">
        <v>24</v>
      </c>
      <c r="Z76" s="4" t="s">
        <v>24</v>
      </c>
      <c r="AA76" s="1" t="s">
        <v>24</v>
      </c>
      <c r="AB76" s="1" t="s">
        <v>24</v>
      </c>
      <c r="AC76" s="4" t="s">
        <v>24</v>
      </c>
      <c r="AD76" t="s">
        <v>25</v>
      </c>
    </row>
    <row r="77" spans="1:30" hidden="1" x14ac:dyDescent="0.35">
      <c r="A77" t="s">
        <v>41</v>
      </c>
      <c r="B77" t="s">
        <v>21</v>
      </c>
      <c r="C77" t="s">
        <v>42</v>
      </c>
      <c r="D77">
        <v>0.26</v>
      </c>
      <c r="E77">
        <v>4</v>
      </c>
      <c r="F77" t="s">
        <v>22</v>
      </c>
      <c r="G77" t="s">
        <v>29</v>
      </c>
      <c r="H77" t="s">
        <v>61</v>
      </c>
      <c r="I77" t="s">
        <v>65</v>
      </c>
      <c r="J77">
        <v>8</v>
      </c>
      <c r="K77" s="2" t="s">
        <v>24</v>
      </c>
      <c r="L77" t="s">
        <v>24</v>
      </c>
      <c r="M77" t="s">
        <v>24</v>
      </c>
      <c r="N77" t="s">
        <v>24</v>
      </c>
      <c r="O77" t="s">
        <v>22</v>
      </c>
      <c r="P77">
        <v>0.16</v>
      </c>
      <c r="Q77" t="s">
        <v>39</v>
      </c>
      <c r="R77" s="1">
        <v>2.579629792</v>
      </c>
      <c r="S77" s="1">
        <v>0.19335443899999999</v>
      </c>
      <c r="T77" s="1">
        <v>11.70760329</v>
      </c>
      <c r="U77" s="1" t="s">
        <v>24</v>
      </c>
      <c r="V77" s="1" t="s">
        <v>24</v>
      </c>
      <c r="W77" s="4" t="s">
        <v>24</v>
      </c>
      <c r="X77" s="1" t="s">
        <v>24</v>
      </c>
      <c r="Y77" s="1" t="s">
        <v>24</v>
      </c>
      <c r="Z77" s="4" t="s">
        <v>24</v>
      </c>
      <c r="AA77" s="1" t="s">
        <v>24</v>
      </c>
      <c r="AB77" s="1" t="s">
        <v>24</v>
      </c>
      <c r="AC77" s="4" t="s">
        <v>24</v>
      </c>
      <c r="AD77" t="s">
        <v>25</v>
      </c>
    </row>
    <row r="78" spans="1:30" hidden="1" x14ac:dyDescent="0.35">
      <c r="A78" t="s">
        <v>41</v>
      </c>
      <c r="B78" t="s">
        <v>21</v>
      </c>
      <c r="C78" t="s">
        <v>42</v>
      </c>
      <c r="D78">
        <v>0.26</v>
      </c>
      <c r="E78">
        <v>4</v>
      </c>
      <c r="F78" t="s">
        <v>22</v>
      </c>
      <c r="G78" t="s">
        <v>29</v>
      </c>
      <c r="H78" t="s">
        <v>61</v>
      </c>
      <c r="I78" t="s">
        <v>65</v>
      </c>
      <c r="J78">
        <v>8</v>
      </c>
      <c r="K78" s="2" t="s">
        <v>24</v>
      </c>
      <c r="L78" t="s">
        <v>24</v>
      </c>
      <c r="M78" t="s">
        <v>24</v>
      </c>
      <c r="N78" t="s">
        <v>24</v>
      </c>
      <c r="O78" t="s">
        <v>22</v>
      </c>
      <c r="P78">
        <v>0.25</v>
      </c>
      <c r="Q78" t="s">
        <v>39</v>
      </c>
      <c r="R78" s="1">
        <v>1.46016843</v>
      </c>
      <c r="S78" s="1">
        <v>0.72229039299999998</v>
      </c>
      <c r="T78" s="1">
        <v>1.9700818010000001</v>
      </c>
      <c r="U78" s="1" t="s">
        <v>24</v>
      </c>
      <c r="V78" s="1" t="s">
        <v>24</v>
      </c>
      <c r="W78" s="4" t="s">
        <v>24</v>
      </c>
      <c r="X78" s="1" t="s">
        <v>24</v>
      </c>
      <c r="Y78" s="1" t="s">
        <v>24</v>
      </c>
      <c r="Z78" s="4" t="s">
        <v>24</v>
      </c>
      <c r="AA78" s="1" t="s">
        <v>24</v>
      </c>
      <c r="AB78" s="1" t="s">
        <v>24</v>
      </c>
      <c r="AC78" s="4" t="s">
        <v>24</v>
      </c>
      <c r="AD78" t="s">
        <v>25</v>
      </c>
    </row>
    <row r="79" spans="1:30" hidden="1" x14ac:dyDescent="0.35">
      <c r="A79" t="s">
        <v>41</v>
      </c>
      <c r="B79" t="s">
        <v>21</v>
      </c>
      <c r="C79" t="s">
        <v>42</v>
      </c>
      <c r="D79">
        <v>0.26</v>
      </c>
      <c r="E79">
        <v>4</v>
      </c>
      <c r="F79" t="s">
        <v>22</v>
      </c>
      <c r="G79" t="s">
        <v>29</v>
      </c>
      <c r="H79" t="s">
        <v>61</v>
      </c>
      <c r="I79" t="s">
        <v>65</v>
      </c>
      <c r="J79">
        <v>8</v>
      </c>
      <c r="K79" s="2" t="s">
        <v>24</v>
      </c>
      <c r="L79" t="s">
        <v>24</v>
      </c>
      <c r="M79" t="s">
        <v>24</v>
      </c>
      <c r="N79" t="s">
        <v>24</v>
      </c>
      <c r="O79" t="s">
        <v>22</v>
      </c>
      <c r="P79">
        <v>0.5</v>
      </c>
      <c r="Q79" t="s">
        <v>39</v>
      </c>
      <c r="R79" s="1">
        <v>1.019307663</v>
      </c>
      <c r="S79" s="1">
        <v>0.58567249099999996</v>
      </c>
      <c r="T79" s="1">
        <v>1.4384631480000001</v>
      </c>
      <c r="U79" s="1" t="s">
        <v>24</v>
      </c>
      <c r="V79" s="1" t="s">
        <v>24</v>
      </c>
      <c r="W79" s="4" t="s">
        <v>24</v>
      </c>
      <c r="X79" s="1" t="s">
        <v>24</v>
      </c>
      <c r="Y79" s="1" t="s">
        <v>24</v>
      </c>
      <c r="Z79" s="4" t="s">
        <v>24</v>
      </c>
      <c r="AA79" s="1" t="s">
        <v>24</v>
      </c>
      <c r="AB79" s="1" t="s">
        <v>24</v>
      </c>
      <c r="AC79" s="4" t="s">
        <v>24</v>
      </c>
      <c r="AD79" t="s">
        <v>25</v>
      </c>
    </row>
    <row r="80" spans="1:30" hidden="1" x14ac:dyDescent="0.35">
      <c r="A80" t="s">
        <v>41</v>
      </c>
      <c r="B80" t="s">
        <v>21</v>
      </c>
      <c r="C80" t="s">
        <v>42</v>
      </c>
      <c r="D80">
        <v>0.26</v>
      </c>
      <c r="E80">
        <v>4</v>
      </c>
      <c r="F80" t="s">
        <v>22</v>
      </c>
      <c r="G80" t="s">
        <v>29</v>
      </c>
      <c r="H80" t="s">
        <v>61</v>
      </c>
      <c r="I80" t="s">
        <v>65</v>
      </c>
      <c r="J80">
        <v>8</v>
      </c>
      <c r="K80" s="2" t="s">
        <v>24</v>
      </c>
      <c r="L80" t="s">
        <v>24</v>
      </c>
      <c r="M80" t="s">
        <v>24</v>
      </c>
      <c r="N80" t="s">
        <v>24</v>
      </c>
      <c r="O80" t="s">
        <v>22</v>
      </c>
      <c r="P80">
        <v>1</v>
      </c>
      <c r="Q80" t="s">
        <v>39</v>
      </c>
      <c r="R80" s="1">
        <v>0.83898170500000002</v>
      </c>
      <c r="S80" s="1">
        <v>0.489334677</v>
      </c>
      <c r="T80" s="1">
        <v>1.1839842949999999</v>
      </c>
      <c r="U80" s="1" t="s">
        <v>24</v>
      </c>
      <c r="V80" s="1" t="s">
        <v>24</v>
      </c>
      <c r="W80" s="4" t="s">
        <v>24</v>
      </c>
      <c r="X80" s="1" t="s">
        <v>24</v>
      </c>
      <c r="Y80" s="1" t="s">
        <v>24</v>
      </c>
      <c r="Z80" s="4" t="s">
        <v>24</v>
      </c>
      <c r="AA80" s="1" t="s">
        <v>24</v>
      </c>
      <c r="AB80" s="1" t="s">
        <v>24</v>
      </c>
      <c r="AC80" s="4" t="s">
        <v>24</v>
      </c>
      <c r="AD80" t="s">
        <v>25</v>
      </c>
    </row>
    <row r="81" spans="1:30" hidden="1" x14ac:dyDescent="0.35">
      <c r="A81" t="s">
        <v>41</v>
      </c>
      <c r="B81" t="s">
        <v>21</v>
      </c>
      <c r="C81" t="s">
        <v>42</v>
      </c>
      <c r="D81">
        <v>0.26</v>
      </c>
      <c r="E81">
        <v>4</v>
      </c>
      <c r="F81" t="s">
        <v>22</v>
      </c>
      <c r="G81" t="s">
        <v>29</v>
      </c>
      <c r="H81" t="s">
        <v>61</v>
      </c>
      <c r="I81" t="s">
        <v>65</v>
      </c>
      <c r="J81">
        <v>8</v>
      </c>
      <c r="K81" s="2" t="s">
        <v>24</v>
      </c>
      <c r="L81" t="s">
        <v>24</v>
      </c>
      <c r="M81" t="s">
        <v>24</v>
      </c>
      <c r="N81" t="s">
        <v>24</v>
      </c>
      <c r="O81" t="s">
        <v>22</v>
      </c>
      <c r="P81">
        <v>2</v>
      </c>
      <c r="Q81" t="s">
        <v>39</v>
      </c>
      <c r="R81" s="1">
        <v>0.93171051500000002</v>
      </c>
      <c r="S81" s="1">
        <v>0.64073598799999998</v>
      </c>
      <c r="T81" s="1">
        <v>1.201849003</v>
      </c>
      <c r="U81" s="1" t="s">
        <v>24</v>
      </c>
      <c r="V81" s="1" t="s">
        <v>24</v>
      </c>
      <c r="W81" s="4" t="s">
        <v>24</v>
      </c>
      <c r="X81" s="1" t="s">
        <v>24</v>
      </c>
      <c r="Y81" s="1" t="s">
        <v>24</v>
      </c>
      <c r="Z81" s="4" t="s">
        <v>24</v>
      </c>
      <c r="AA81" s="1" t="s">
        <v>24</v>
      </c>
      <c r="AB81" s="1" t="s">
        <v>24</v>
      </c>
      <c r="AC81" s="4" t="s">
        <v>24</v>
      </c>
      <c r="AD81" t="s">
        <v>25</v>
      </c>
    </row>
    <row r="82" spans="1:30" hidden="1" x14ac:dyDescent="0.35">
      <c r="A82" t="s">
        <v>41</v>
      </c>
      <c r="B82" t="s">
        <v>21</v>
      </c>
      <c r="C82" t="s">
        <v>42</v>
      </c>
      <c r="D82">
        <v>0.26</v>
      </c>
      <c r="E82">
        <v>4</v>
      </c>
      <c r="F82" t="s">
        <v>22</v>
      </c>
      <c r="G82" t="s">
        <v>29</v>
      </c>
      <c r="H82" t="s">
        <v>61</v>
      </c>
      <c r="I82" t="s">
        <v>65</v>
      </c>
      <c r="J82">
        <v>8</v>
      </c>
      <c r="K82" s="2" t="s">
        <v>24</v>
      </c>
      <c r="L82" t="s">
        <v>24</v>
      </c>
      <c r="M82" t="s">
        <v>24</v>
      </c>
      <c r="N82" t="s">
        <v>24</v>
      </c>
      <c r="O82" t="s">
        <v>22</v>
      </c>
      <c r="P82">
        <v>3</v>
      </c>
      <c r="Q82" t="s">
        <v>39</v>
      </c>
      <c r="R82" s="1">
        <v>2.7388830980000001</v>
      </c>
      <c r="S82" s="1">
        <v>0.877535383</v>
      </c>
      <c r="T82" s="1">
        <v>4.6261081280000003</v>
      </c>
      <c r="U82" s="1" t="s">
        <v>24</v>
      </c>
      <c r="V82" s="1" t="s">
        <v>24</v>
      </c>
      <c r="W82" s="4" t="s">
        <v>24</v>
      </c>
      <c r="X82" s="1" t="s">
        <v>24</v>
      </c>
      <c r="Y82" s="1" t="s">
        <v>24</v>
      </c>
      <c r="Z82" s="4" t="s">
        <v>24</v>
      </c>
      <c r="AA82" s="1" t="s">
        <v>24</v>
      </c>
      <c r="AB82" s="1" t="s">
        <v>24</v>
      </c>
      <c r="AC82" s="4" t="s">
        <v>24</v>
      </c>
      <c r="AD82" t="s">
        <v>25</v>
      </c>
    </row>
    <row r="83" spans="1:30" hidden="1" x14ac:dyDescent="0.35">
      <c r="A83" t="s">
        <v>41</v>
      </c>
      <c r="B83" t="s">
        <v>21</v>
      </c>
      <c r="C83" t="s">
        <v>42</v>
      </c>
      <c r="D83">
        <v>0.26</v>
      </c>
      <c r="E83">
        <v>4</v>
      </c>
      <c r="F83" t="s">
        <v>22</v>
      </c>
      <c r="G83" t="s">
        <v>29</v>
      </c>
      <c r="H83" t="s">
        <v>61</v>
      </c>
      <c r="I83" t="s">
        <v>65</v>
      </c>
      <c r="J83">
        <v>8</v>
      </c>
      <c r="K83" s="2" t="s">
        <v>24</v>
      </c>
      <c r="L83" t="s">
        <v>24</v>
      </c>
      <c r="M83" t="s">
        <v>24</v>
      </c>
      <c r="N83" t="s">
        <v>24</v>
      </c>
      <c r="O83" t="s">
        <v>22</v>
      </c>
      <c r="P83">
        <v>6</v>
      </c>
      <c r="Q83" t="s">
        <v>39</v>
      </c>
      <c r="R83" s="1">
        <v>1.7216607260000001</v>
      </c>
      <c r="S83" s="1">
        <v>0.80212184600000003</v>
      </c>
      <c r="T83" s="1">
        <v>2.618552888</v>
      </c>
      <c r="U83" s="1" t="s">
        <v>24</v>
      </c>
      <c r="V83" s="1" t="s">
        <v>24</v>
      </c>
      <c r="W83" s="4" t="s">
        <v>24</v>
      </c>
      <c r="X83" s="1" t="s">
        <v>24</v>
      </c>
      <c r="Y83" s="1" t="s">
        <v>24</v>
      </c>
      <c r="Z83" s="4" t="s">
        <v>24</v>
      </c>
      <c r="AA83" s="1" t="s">
        <v>24</v>
      </c>
      <c r="AB83" s="1" t="s">
        <v>24</v>
      </c>
      <c r="AC83" s="4" t="s">
        <v>24</v>
      </c>
      <c r="AD83" t="s">
        <v>25</v>
      </c>
    </row>
    <row r="84" spans="1:30" hidden="1" x14ac:dyDescent="0.35">
      <c r="A84" t="s">
        <v>41</v>
      </c>
      <c r="B84" t="s">
        <v>21</v>
      </c>
      <c r="C84" t="s">
        <v>42</v>
      </c>
      <c r="D84">
        <v>0.26</v>
      </c>
      <c r="E84">
        <v>4</v>
      </c>
      <c r="F84" t="s">
        <v>22</v>
      </c>
      <c r="G84" t="s">
        <v>29</v>
      </c>
      <c r="H84" t="s">
        <v>61</v>
      </c>
      <c r="I84" t="s">
        <v>65</v>
      </c>
      <c r="J84">
        <v>8</v>
      </c>
      <c r="K84" s="2" t="s">
        <v>24</v>
      </c>
      <c r="L84" t="s">
        <v>24</v>
      </c>
      <c r="M84" t="s">
        <v>24</v>
      </c>
      <c r="N84" t="s">
        <v>24</v>
      </c>
      <c r="O84" t="s">
        <v>22</v>
      </c>
      <c r="P84">
        <v>12</v>
      </c>
      <c r="Q84" t="s">
        <v>39</v>
      </c>
      <c r="R84" s="1">
        <v>0.93171051500000002</v>
      </c>
      <c r="S84" s="1">
        <v>0.57696684799999998</v>
      </c>
      <c r="T84" s="1">
        <v>1.3346838759999999</v>
      </c>
      <c r="U84" s="1" t="s">
        <v>24</v>
      </c>
      <c r="V84" s="1" t="s">
        <v>24</v>
      </c>
      <c r="W84" s="4" t="s">
        <v>24</v>
      </c>
      <c r="X84" s="1" t="s">
        <v>24</v>
      </c>
      <c r="Y84" s="1" t="s">
        <v>24</v>
      </c>
      <c r="Z84" s="4" t="s">
        <v>24</v>
      </c>
      <c r="AA84" s="1" t="s">
        <v>24</v>
      </c>
      <c r="AB84" s="1" t="s">
        <v>24</v>
      </c>
      <c r="AC84" s="4" t="s">
        <v>24</v>
      </c>
      <c r="AD84" t="s">
        <v>25</v>
      </c>
    </row>
    <row r="85" spans="1:30" hidden="1" x14ac:dyDescent="0.35">
      <c r="A85" t="s">
        <v>41</v>
      </c>
      <c r="B85" t="s">
        <v>21</v>
      </c>
      <c r="C85" t="s">
        <v>42</v>
      </c>
      <c r="D85">
        <v>0.26</v>
      </c>
      <c r="E85">
        <v>4</v>
      </c>
      <c r="F85" t="s">
        <v>22</v>
      </c>
      <c r="G85" t="s">
        <v>29</v>
      </c>
      <c r="H85" t="s">
        <v>61</v>
      </c>
      <c r="I85" t="s">
        <v>65</v>
      </c>
      <c r="J85">
        <v>8</v>
      </c>
      <c r="K85" s="2" t="s">
        <v>24</v>
      </c>
      <c r="L85" t="s">
        <v>24</v>
      </c>
      <c r="M85" t="s">
        <v>24</v>
      </c>
      <c r="N85" t="s">
        <v>24</v>
      </c>
      <c r="O85" t="s">
        <v>22</v>
      </c>
      <c r="P85">
        <v>24</v>
      </c>
      <c r="Q85" t="s">
        <v>39</v>
      </c>
      <c r="R85" s="1">
        <v>0.61258586500000001</v>
      </c>
      <c r="S85" s="1">
        <v>0.51954343000000003</v>
      </c>
      <c r="T85" s="1">
        <v>0.68029217900000005</v>
      </c>
      <c r="U85" s="1" t="s">
        <v>24</v>
      </c>
      <c r="V85" s="1" t="s">
        <v>24</v>
      </c>
      <c r="W85" s="4" t="s">
        <v>24</v>
      </c>
      <c r="X85" s="1" t="s">
        <v>24</v>
      </c>
      <c r="Y85" s="1" t="s">
        <v>24</v>
      </c>
      <c r="Z85" s="4" t="s">
        <v>24</v>
      </c>
      <c r="AA85" s="1" t="s">
        <v>24</v>
      </c>
      <c r="AB85" s="1" t="s">
        <v>24</v>
      </c>
      <c r="AC85" s="4" t="s">
        <v>24</v>
      </c>
      <c r="AD85" t="s">
        <v>25</v>
      </c>
    </row>
    <row r="86" spans="1:30" hidden="1" x14ac:dyDescent="0.35">
      <c r="A86" t="s">
        <v>66</v>
      </c>
      <c r="B86" t="s">
        <v>32</v>
      </c>
      <c r="C86" t="s">
        <v>42</v>
      </c>
      <c r="D86">
        <v>0.26</v>
      </c>
      <c r="E86">
        <v>5</v>
      </c>
      <c r="F86" t="s">
        <v>22</v>
      </c>
      <c r="G86" t="s">
        <v>29</v>
      </c>
      <c r="H86" t="s">
        <v>67</v>
      </c>
      <c r="I86">
        <v>1</v>
      </c>
      <c r="J86" t="s">
        <v>24</v>
      </c>
      <c r="K86" s="2" t="s">
        <v>24</v>
      </c>
      <c r="L86" t="s">
        <v>24</v>
      </c>
      <c r="M86" t="s">
        <v>24</v>
      </c>
      <c r="N86" t="s">
        <v>24</v>
      </c>
      <c r="O86" t="s">
        <v>22</v>
      </c>
      <c r="P86">
        <v>0.5</v>
      </c>
      <c r="Q86" t="s">
        <v>70</v>
      </c>
      <c r="R86" s="1">
        <v>352.47</v>
      </c>
      <c r="S86" s="1">
        <v>283.16000000000003</v>
      </c>
      <c r="T86" s="1">
        <v>432.67</v>
      </c>
      <c r="U86" s="1" t="s">
        <v>24</v>
      </c>
      <c r="V86" s="1" t="s">
        <v>24</v>
      </c>
      <c r="W86" s="4" t="s">
        <v>24</v>
      </c>
      <c r="X86" s="1" t="s">
        <v>24</v>
      </c>
      <c r="Y86" s="1" t="s">
        <v>24</v>
      </c>
      <c r="Z86" s="4" t="s">
        <v>24</v>
      </c>
      <c r="AA86" s="1" t="s">
        <v>24</v>
      </c>
      <c r="AB86" s="1" t="s">
        <v>24</v>
      </c>
      <c r="AC86" s="4" t="s">
        <v>24</v>
      </c>
      <c r="AD86" t="s">
        <v>25</v>
      </c>
    </row>
    <row r="87" spans="1:30" hidden="1" x14ac:dyDescent="0.35">
      <c r="A87" t="s">
        <v>66</v>
      </c>
      <c r="B87" t="s">
        <v>32</v>
      </c>
      <c r="C87" t="s">
        <v>42</v>
      </c>
      <c r="D87">
        <v>0.26</v>
      </c>
      <c r="E87">
        <v>5</v>
      </c>
      <c r="F87" t="s">
        <v>22</v>
      </c>
      <c r="G87" t="s">
        <v>29</v>
      </c>
      <c r="H87" t="s">
        <v>67</v>
      </c>
      <c r="I87">
        <v>1</v>
      </c>
      <c r="J87" t="s">
        <v>24</v>
      </c>
      <c r="K87" s="2" t="s">
        <v>24</v>
      </c>
      <c r="L87" t="s">
        <v>24</v>
      </c>
      <c r="M87" t="s">
        <v>24</v>
      </c>
      <c r="N87" t="s">
        <v>24</v>
      </c>
      <c r="O87" t="s">
        <v>22</v>
      </c>
      <c r="P87">
        <v>0.7</v>
      </c>
      <c r="Q87" t="s">
        <v>70</v>
      </c>
      <c r="R87" s="1">
        <v>108.91</v>
      </c>
      <c r="S87" s="1">
        <v>75.239999999999995</v>
      </c>
      <c r="T87" s="1">
        <v>133.66</v>
      </c>
      <c r="U87" s="1" t="s">
        <v>24</v>
      </c>
      <c r="V87" s="1" t="s">
        <v>24</v>
      </c>
      <c r="W87" s="4" t="s">
        <v>24</v>
      </c>
      <c r="X87" s="1" t="s">
        <v>24</v>
      </c>
      <c r="Y87" s="1" t="s">
        <v>24</v>
      </c>
      <c r="Z87" s="4" t="s">
        <v>24</v>
      </c>
      <c r="AA87" s="1" t="s">
        <v>24</v>
      </c>
      <c r="AB87" s="1" t="s">
        <v>24</v>
      </c>
      <c r="AC87" s="4" t="s">
        <v>24</v>
      </c>
      <c r="AD87" t="s">
        <v>25</v>
      </c>
    </row>
    <row r="88" spans="1:30" hidden="1" x14ac:dyDescent="0.35">
      <c r="A88" t="s">
        <v>66</v>
      </c>
      <c r="B88" t="s">
        <v>32</v>
      </c>
      <c r="C88" t="s">
        <v>42</v>
      </c>
      <c r="D88">
        <v>0.26</v>
      </c>
      <c r="E88">
        <v>5</v>
      </c>
      <c r="F88" t="s">
        <v>22</v>
      </c>
      <c r="G88" t="s">
        <v>29</v>
      </c>
      <c r="H88" t="s">
        <v>67</v>
      </c>
      <c r="I88">
        <v>1</v>
      </c>
      <c r="J88" t="s">
        <v>24</v>
      </c>
      <c r="K88" s="2" t="s">
        <v>24</v>
      </c>
      <c r="L88" t="s">
        <v>24</v>
      </c>
      <c r="M88" t="s">
        <v>24</v>
      </c>
      <c r="N88" t="s">
        <v>24</v>
      </c>
      <c r="O88" t="s">
        <v>22</v>
      </c>
      <c r="P88">
        <v>1</v>
      </c>
      <c r="Q88" t="s">
        <v>70</v>
      </c>
      <c r="R88" s="1">
        <v>216.83</v>
      </c>
      <c r="S88" s="1">
        <v>133.66</v>
      </c>
      <c r="T88" s="1">
        <v>167.33</v>
      </c>
      <c r="U88" s="1" t="s">
        <v>24</v>
      </c>
      <c r="V88" s="1" t="s">
        <v>24</v>
      </c>
      <c r="W88" s="4" t="s">
        <v>24</v>
      </c>
      <c r="X88" s="1" t="s">
        <v>24</v>
      </c>
      <c r="Y88" s="1" t="s">
        <v>24</v>
      </c>
      <c r="Z88" s="4" t="s">
        <v>24</v>
      </c>
      <c r="AA88" s="1" t="s">
        <v>24</v>
      </c>
      <c r="AB88" s="1" t="s">
        <v>24</v>
      </c>
      <c r="AC88" s="4" t="s">
        <v>24</v>
      </c>
      <c r="AD88" t="s">
        <v>25</v>
      </c>
    </row>
    <row r="89" spans="1:30" hidden="1" x14ac:dyDescent="0.35">
      <c r="A89" t="s">
        <v>66</v>
      </c>
      <c r="B89" t="s">
        <v>32</v>
      </c>
      <c r="C89" t="s">
        <v>42</v>
      </c>
      <c r="D89">
        <v>0.26</v>
      </c>
      <c r="E89">
        <v>5</v>
      </c>
      <c r="F89" t="s">
        <v>22</v>
      </c>
      <c r="G89" t="s">
        <v>29</v>
      </c>
      <c r="H89" t="s">
        <v>67</v>
      </c>
      <c r="I89">
        <v>1</v>
      </c>
      <c r="J89" t="s">
        <v>24</v>
      </c>
      <c r="K89" s="2" t="s">
        <v>24</v>
      </c>
      <c r="L89" t="s">
        <v>24</v>
      </c>
      <c r="M89" t="s">
        <v>24</v>
      </c>
      <c r="N89" t="s">
        <v>24</v>
      </c>
      <c r="O89" t="s">
        <v>22</v>
      </c>
      <c r="P89">
        <v>4</v>
      </c>
      <c r="Q89" t="s">
        <v>70</v>
      </c>
      <c r="R89" s="1">
        <v>352.47</v>
      </c>
      <c r="S89" s="1">
        <v>252.47</v>
      </c>
      <c r="T89" s="1">
        <v>352.47</v>
      </c>
      <c r="U89" s="1" t="s">
        <v>24</v>
      </c>
      <c r="V89" s="1" t="s">
        <v>24</v>
      </c>
      <c r="W89" s="4" t="s">
        <v>24</v>
      </c>
      <c r="X89" s="1" t="s">
        <v>24</v>
      </c>
      <c r="Y89" s="1" t="s">
        <v>24</v>
      </c>
      <c r="Z89" s="4" t="s">
        <v>24</v>
      </c>
      <c r="AA89" s="1" t="s">
        <v>24</v>
      </c>
      <c r="AB89" s="1" t="s">
        <v>24</v>
      </c>
      <c r="AC89" s="4" t="s">
        <v>24</v>
      </c>
      <c r="AD89" t="s">
        <v>25</v>
      </c>
    </row>
    <row r="90" spans="1:30" hidden="1" x14ac:dyDescent="0.35">
      <c r="A90" t="s">
        <v>66</v>
      </c>
      <c r="B90" t="s">
        <v>32</v>
      </c>
      <c r="C90" t="s">
        <v>42</v>
      </c>
      <c r="D90">
        <v>0.26</v>
      </c>
      <c r="E90">
        <v>5</v>
      </c>
      <c r="F90" t="s">
        <v>22</v>
      </c>
      <c r="G90" t="s">
        <v>29</v>
      </c>
      <c r="H90" t="s">
        <v>67</v>
      </c>
      <c r="I90">
        <v>1</v>
      </c>
      <c r="J90" t="s">
        <v>24</v>
      </c>
      <c r="K90" s="2" t="s">
        <v>24</v>
      </c>
      <c r="L90" t="s">
        <v>24</v>
      </c>
      <c r="M90" t="s">
        <v>24</v>
      </c>
      <c r="N90" t="s">
        <v>24</v>
      </c>
      <c r="O90" t="s">
        <v>22</v>
      </c>
      <c r="P90">
        <v>8</v>
      </c>
      <c r="Q90" t="s">
        <v>70</v>
      </c>
      <c r="R90" s="1">
        <v>118.81</v>
      </c>
      <c r="S90" s="1">
        <v>87.13</v>
      </c>
      <c r="T90" s="1">
        <v>149.51</v>
      </c>
      <c r="U90" s="1" t="s">
        <v>24</v>
      </c>
      <c r="V90" s="1" t="s">
        <v>24</v>
      </c>
      <c r="W90" s="4" t="s">
        <v>24</v>
      </c>
      <c r="X90" s="1" t="s">
        <v>24</v>
      </c>
      <c r="Y90" s="1" t="s">
        <v>24</v>
      </c>
      <c r="Z90" s="4" t="s">
        <v>24</v>
      </c>
      <c r="AA90" s="1" t="s">
        <v>24</v>
      </c>
      <c r="AB90" s="1" t="s">
        <v>24</v>
      </c>
      <c r="AC90" s="4" t="s">
        <v>24</v>
      </c>
      <c r="AD90" t="s">
        <v>25</v>
      </c>
    </row>
    <row r="91" spans="1:30" hidden="1" x14ac:dyDescent="0.35">
      <c r="A91" t="s">
        <v>66</v>
      </c>
      <c r="B91" t="s">
        <v>32</v>
      </c>
      <c r="C91" t="s">
        <v>42</v>
      </c>
      <c r="D91">
        <v>0.26</v>
      </c>
      <c r="E91">
        <v>5</v>
      </c>
      <c r="F91" t="s">
        <v>22</v>
      </c>
      <c r="G91" t="s">
        <v>29</v>
      </c>
      <c r="H91" t="s">
        <v>67</v>
      </c>
      <c r="I91">
        <v>1</v>
      </c>
      <c r="J91" t="s">
        <v>24</v>
      </c>
      <c r="K91" s="2" t="s">
        <v>24</v>
      </c>
      <c r="L91" t="s">
        <v>24</v>
      </c>
      <c r="M91" t="s">
        <v>24</v>
      </c>
      <c r="N91" t="s">
        <v>24</v>
      </c>
      <c r="O91" t="s">
        <v>22</v>
      </c>
      <c r="P91">
        <v>24</v>
      </c>
      <c r="Q91" t="s">
        <v>70</v>
      </c>
      <c r="R91" s="1">
        <v>21.78</v>
      </c>
      <c r="S91" s="1">
        <v>21.78</v>
      </c>
      <c r="T91" s="1">
        <v>21.78</v>
      </c>
      <c r="U91" s="1" t="s">
        <v>24</v>
      </c>
      <c r="V91" s="1" t="s">
        <v>24</v>
      </c>
      <c r="W91" s="4" t="s">
        <v>24</v>
      </c>
      <c r="X91" s="1" t="s">
        <v>24</v>
      </c>
      <c r="Y91" s="1" t="s">
        <v>24</v>
      </c>
      <c r="Z91" s="4" t="s">
        <v>24</v>
      </c>
      <c r="AA91" s="1" t="s">
        <v>24</v>
      </c>
      <c r="AB91" s="1" t="s">
        <v>24</v>
      </c>
      <c r="AC91" s="4" t="s">
        <v>24</v>
      </c>
      <c r="AD91" t="s">
        <v>25</v>
      </c>
    </row>
    <row r="92" spans="1:30" hidden="1" x14ac:dyDescent="0.35">
      <c r="A92" t="s">
        <v>66</v>
      </c>
      <c r="B92" t="s">
        <v>32</v>
      </c>
      <c r="C92" t="s">
        <v>28</v>
      </c>
      <c r="D92">
        <v>0.26</v>
      </c>
      <c r="E92">
        <v>5</v>
      </c>
      <c r="F92" t="s">
        <v>22</v>
      </c>
      <c r="G92" t="s">
        <v>29</v>
      </c>
      <c r="H92" t="s">
        <v>67</v>
      </c>
      <c r="I92">
        <v>1</v>
      </c>
      <c r="J92" t="s">
        <v>24</v>
      </c>
      <c r="K92" s="2" t="s">
        <v>24</v>
      </c>
      <c r="L92" t="s">
        <v>24</v>
      </c>
      <c r="M92" t="s">
        <v>24</v>
      </c>
      <c r="N92" t="s">
        <v>24</v>
      </c>
      <c r="O92" t="s">
        <v>22</v>
      </c>
      <c r="P92">
        <v>0.5</v>
      </c>
      <c r="Q92" t="s">
        <v>70</v>
      </c>
      <c r="R92" s="1">
        <v>261.23</v>
      </c>
      <c r="S92" s="1">
        <v>250.49</v>
      </c>
      <c r="T92" s="1">
        <v>278.22000000000003</v>
      </c>
      <c r="U92" s="1" t="s">
        <v>24</v>
      </c>
      <c r="V92" s="1" t="s">
        <v>24</v>
      </c>
      <c r="W92" s="4" t="s">
        <v>24</v>
      </c>
      <c r="X92" s="1" t="s">
        <v>24</v>
      </c>
      <c r="Y92" s="1" t="s">
        <v>24</v>
      </c>
      <c r="Z92" s="4" t="s">
        <v>24</v>
      </c>
      <c r="AA92" s="1" t="s">
        <v>24</v>
      </c>
      <c r="AB92" s="1" t="s">
        <v>24</v>
      </c>
      <c r="AC92" s="4" t="s">
        <v>24</v>
      </c>
      <c r="AD92" t="s">
        <v>25</v>
      </c>
    </row>
    <row r="93" spans="1:30" hidden="1" x14ac:dyDescent="0.35">
      <c r="A93" t="s">
        <v>66</v>
      </c>
      <c r="B93" t="s">
        <v>32</v>
      </c>
      <c r="C93" t="s">
        <v>28</v>
      </c>
      <c r="D93">
        <v>0.26</v>
      </c>
      <c r="E93">
        <v>5</v>
      </c>
      <c r="F93" t="s">
        <v>22</v>
      </c>
      <c r="G93" t="s">
        <v>29</v>
      </c>
      <c r="H93" t="s">
        <v>67</v>
      </c>
      <c r="I93">
        <v>1</v>
      </c>
      <c r="J93" t="s">
        <v>24</v>
      </c>
      <c r="K93" s="2" t="s">
        <v>24</v>
      </c>
      <c r="L93" t="s">
        <v>24</v>
      </c>
      <c r="M93" t="s">
        <v>24</v>
      </c>
      <c r="N93" t="s">
        <v>24</v>
      </c>
      <c r="O93" t="s">
        <v>22</v>
      </c>
      <c r="P93">
        <v>0.7</v>
      </c>
      <c r="Q93" t="s">
        <v>70</v>
      </c>
      <c r="R93" s="1">
        <v>73.760000000000005</v>
      </c>
      <c r="S93" s="1">
        <v>60.39</v>
      </c>
      <c r="T93" s="1">
        <v>86.13</v>
      </c>
      <c r="U93" s="1" t="s">
        <v>24</v>
      </c>
      <c r="V93" s="1" t="s">
        <v>24</v>
      </c>
      <c r="W93" s="4" t="s">
        <v>24</v>
      </c>
      <c r="X93" s="1" t="s">
        <v>24</v>
      </c>
      <c r="Y93" s="1" t="s">
        <v>24</v>
      </c>
      <c r="Z93" s="4" t="s">
        <v>24</v>
      </c>
      <c r="AA93" s="1" t="s">
        <v>24</v>
      </c>
      <c r="AB93" s="1" t="s">
        <v>24</v>
      </c>
      <c r="AC93" s="4" t="s">
        <v>24</v>
      </c>
      <c r="AD93" t="s">
        <v>25</v>
      </c>
    </row>
    <row r="94" spans="1:30" hidden="1" x14ac:dyDescent="0.35">
      <c r="A94" t="s">
        <v>66</v>
      </c>
      <c r="B94" t="s">
        <v>32</v>
      </c>
      <c r="C94" t="s">
        <v>28</v>
      </c>
      <c r="D94">
        <v>0.26</v>
      </c>
      <c r="E94">
        <v>5</v>
      </c>
      <c r="F94" t="s">
        <v>22</v>
      </c>
      <c r="G94" t="s">
        <v>29</v>
      </c>
      <c r="H94" t="s">
        <v>67</v>
      </c>
      <c r="I94">
        <v>1</v>
      </c>
      <c r="J94" t="s">
        <v>24</v>
      </c>
      <c r="K94" s="2" t="s">
        <v>24</v>
      </c>
      <c r="L94" t="s">
        <v>24</v>
      </c>
      <c r="M94" t="s">
        <v>24</v>
      </c>
      <c r="N94" t="s">
        <v>24</v>
      </c>
      <c r="O94" t="s">
        <v>22</v>
      </c>
      <c r="P94">
        <v>1</v>
      </c>
      <c r="Q94" t="s">
        <v>70</v>
      </c>
      <c r="R94" s="1">
        <v>126.21</v>
      </c>
      <c r="S94" s="1">
        <v>112.87</v>
      </c>
      <c r="T94" s="1">
        <v>136.63</v>
      </c>
      <c r="U94" s="1" t="s">
        <v>24</v>
      </c>
      <c r="V94" s="1" t="s">
        <v>24</v>
      </c>
      <c r="W94" s="4" t="s">
        <v>24</v>
      </c>
      <c r="X94" s="1" t="s">
        <v>24</v>
      </c>
      <c r="Y94" s="1" t="s">
        <v>24</v>
      </c>
      <c r="Z94" s="4" t="s">
        <v>24</v>
      </c>
      <c r="AA94" s="1" t="s">
        <v>24</v>
      </c>
      <c r="AB94" s="1" t="s">
        <v>24</v>
      </c>
      <c r="AC94" s="4" t="s">
        <v>24</v>
      </c>
      <c r="AD94" t="s">
        <v>25</v>
      </c>
    </row>
    <row r="95" spans="1:30" hidden="1" x14ac:dyDescent="0.35">
      <c r="A95" t="s">
        <v>66</v>
      </c>
      <c r="B95" t="s">
        <v>32</v>
      </c>
      <c r="C95" t="s">
        <v>28</v>
      </c>
      <c r="D95">
        <v>0.26</v>
      </c>
      <c r="E95">
        <v>5</v>
      </c>
      <c r="F95" t="s">
        <v>22</v>
      </c>
      <c r="G95" t="s">
        <v>29</v>
      </c>
      <c r="H95" t="s">
        <v>67</v>
      </c>
      <c r="I95">
        <v>1</v>
      </c>
      <c r="J95" t="s">
        <v>24</v>
      </c>
      <c r="K95" s="2" t="s">
        <v>24</v>
      </c>
      <c r="L95" t="s">
        <v>24</v>
      </c>
      <c r="M95" t="s">
        <v>24</v>
      </c>
      <c r="N95" t="s">
        <v>24</v>
      </c>
      <c r="O95" t="s">
        <v>22</v>
      </c>
      <c r="P95">
        <v>4</v>
      </c>
      <c r="Q95" t="s">
        <v>70</v>
      </c>
      <c r="R95" s="1">
        <v>41.16</v>
      </c>
      <c r="S95" s="1">
        <v>23.76</v>
      </c>
      <c r="T95" s="1">
        <v>54.45</v>
      </c>
      <c r="U95" s="1" t="s">
        <v>24</v>
      </c>
      <c r="V95" s="1" t="s">
        <v>24</v>
      </c>
      <c r="W95" s="4" t="s">
        <v>24</v>
      </c>
      <c r="X95" s="1" t="s">
        <v>24</v>
      </c>
      <c r="Y95" s="1" t="s">
        <v>24</v>
      </c>
      <c r="Z95" s="4" t="s">
        <v>24</v>
      </c>
      <c r="AA95" s="1" t="s">
        <v>24</v>
      </c>
      <c r="AB95" s="1" t="s">
        <v>24</v>
      </c>
      <c r="AC95" s="4" t="s">
        <v>24</v>
      </c>
      <c r="AD95" t="s">
        <v>25</v>
      </c>
    </row>
    <row r="96" spans="1:30" hidden="1" x14ac:dyDescent="0.35">
      <c r="A96" t="s">
        <v>66</v>
      </c>
      <c r="B96" t="s">
        <v>32</v>
      </c>
      <c r="C96" t="s">
        <v>28</v>
      </c>
      <c r="D96">
        <v>0.26</v>
      </c>
      <c r="E96">
        <v>5</v>
      </c>
      <c r="F96" t="s">
        <v>22</v>
      </c>
      <c r="G96" t="s">
        <v>29</v>
      </c>
      <c r="H96" t="s">
        <v>67</v>
      </c>
      <c r="I96">
        <v>1</v>
      </c>
      <c r="J96" t="s">
        <v>24</v>
      </c>
      <c r="K96" s="2" t="s">
        <v>24</v>
      </c>
      <c r="L96" t="s">
        <v>24</v>
      </c>
      <c r="M96" t="s">
        <v>24</v>
      </c>
      <c r="N96" t="s">
        <v>24</v>
      </c>
      <c r="O96" t="s">
        <v>22</v>
      </c>
      <c r="P96">
        <v>8</v>
      </c>
      <c r="Q96" t="s">
        <v>70</v>
      </c>
      <c r="R96" s="1">
        <v>26.28</v>
      </c>
      <c r="S96" s="1">
        <v>26.28</v>
      </c>
      <c r="T96" s="1">
        <v>26.28</v>
      </c>
      <c r="U96" s="1" t="s">
        <v>24</v>
      </c>
      <c r="V96" s="1" t="s">
        <v>24</v>
      </c>
      <c r="W96" s="4" t="s">
        <v>24</v>
      </c>
      <c r="X96" s="1" t="s">
        <v>24</v>
      </c>
      <c r="Y96" s="1" t="s">
        <v>24</v>
      </c>
      <c r="Z96" s="4" t="s">
        <v>24</v>
      </c>
      <c r="AA96" s="1" t="s">
        <v>24</v>
      </c>
      <c r="AB96" s="1" t="s">
        <v>24</v>
      </c>
      <c r="AC96" s="4" t="s">
        <v>24</v>
      </c>
      <c r="AD96" t="s">
        <v>25</v>
      </c>
    </row>
    <row r="97" spans="1:30" hidden="1" x14ac:dyDescent="0.35">
      <c r="A97" t="s">
        <v>66</v>
      </c>
      <c r="B97" t="s">
        <v>32</v>
      </c>
      <c r="C97" t="s">
        <v>28</v>
      </c>
      <c r="D97">
        <v>0.26</v>
      </c>
      <c r="E97">
        <v>5</v>
      </c>
      <c r="F97" t="s">
        <v>22</v>
      </c>
      <c r="G97" t="s">
        <v>29</v>
      </c>
      <c r="H97" t="s">
        <v>67</v>
      </c>
      <c r="I97">
        <v>1</v>
      </c>
      <c r="J97" t="s">
        <v>24</v>
      </c>
      <c r="K97" s="2" t="s">
        <v>24</v>
      </c>
      <c r="L97" t="s">
        <v>24</v>
      </c>
      <c r="M97" t="s">
        <v>24</v>
      </c>
      <c r="N97" t="s">
        <v>24</v>
      </c>
      <c r="O97" t="s">
        <v>22</v>
      </c>
      <c r="P97">
        <v>24</v>
      </c>
      <c r="Q97" t="s">
        <v>70</v>
      </c>
      <c r="R97" s="1">
        <v>11.88</v>
      </c>
      <c r="S97" s="1">
        <v>11.88</v>
      </c>
      <c r="T97" s="1">
        <v>11.88</v>
      </c>
      <c r="U97" s="1" t="s">
        <v>24</v>
      </c>
      <c r="V97" s="1" t="s">
        <v>24</v>
      </c>
      <c r="W97" s="4" t="s">
        <v>24</v>
      </c>
      <c r="X97" s="1" t="s">
        <v>24</v>
      </c>
      <c r="Y97" s="1" t="s">
        <v>24</v>
      </c>
      <c r="Z97" s="4" t="s">
        <v>24</v>
      </c>
      <c r="AA97" s="1" t="s">
        <v>24</v>
      </c>
      <c r="AB97" s="1" t="s">
        <v>24</v>
      </c>
      <c r="AC97" s="4" t="s">
        <v>24</v>
      </c>
      <c r="AD97" t="s">
        <v>25</v>
      </c>
    </row>
    <row r="98" spans="1:30" hidden="1" x14ac:dyDescent="0.35">
      <c r="A98" t="s">
        <v>66</v>
      </c>
      <c r="B98" t="s">
        <v>32</v>
      </c>
      <c r="C98" t="s">
        <v>42</v>
      </c>
      <c r="D98">
        <v>0.26</v>
      </c>
      <c r="E98">
        <v>5</v>
      </c>
      <c r="F98" t="s">
        <v>22</v>
      </c>
      <c r="G98" t="s">
        <v>29</v>
      </c>
      <c r="H98" t="s">
        <v>67</v>
      </c>
      <c r="I98">
        <v>1</v>
      </c>
      <c r="J98" t="s">
        <v>24</v>
      </c>
      <c r="K98" s="2" t="s">
        <v>24</v>
      </c>
      <c r="L98" t="s">
        <v>24</v>
      </c>
      <c r="M98" t="s">
        <v>24</v>
      </c>
      <c r="N98" t="s">
        <v>24</v>
      </c>
      <c r="O98" t="s">
        <v>68</v>
      </c>
      <c r="P98">
        <v>0.5</v>
      </c>
      <c r="Q98" t="s">
        <v>70</v>
      </c>
      <c r="R98" s="1">
        <v>1763.21</v>
      </c>
      <c r="S98" s="1">
        <v>1676.67466960142</v>
      </c>
      <c r="T98" s="1">
        <v>1898.38281515123</v>
      </c>
      <c r="U98" s="1" t="s">
        <v>24</v>
      </c>
      <c r="V98" s="1" t="s">
        <v>24</v>
      </c>
      <c r="W98" s="4" t="s">
        <v>24</v>
      </c>
      <c r="X98" s="1" t="s">
        <v>24</v>
      </c>
      <c r="Y98" s="1" t="s">
        <v>24</v>
      </c>
      <c r="Z98" s="4" t="s">
        <v>24</v>
      </c>
      <c r="AA98" s="1" t="s">
        <v>24</v>
      </c>
      <c r="AB98" s="1" t="s">
        <v>24</v>
      </c>
      <c r="AC98" s="4" t="s">
        <v>24</v>
      </c>
      <c r="AD98" t="s">
        <v>25</v>
      </c>
    </row>
    <row r="99" spans="1:30" hidden="1" x14ac:dyDescent="0.35">
      <c r="A99" t="s">
        <v>66</v>
      </c>
      <c r="B99" t="s">
        <v>32</v>
      </c>
      <c r="C99" t="s">
        <v>42</v>
      </c>
      <c r="D99">
        <v>0.26</v>
      </c>
      <c r="E99">
        <v>5</v>
      </c>
      <c r="F99" t="s">
        <v>22</v>
      </c>
      <c r="G99" t="s">
        <v>29</v>
      </c>
      <c r="H99" t="s">
        <v>67</v>
      </c>
      <c r="I99">
        <v>1</v>
      </c>
      <c r="J99" t="s">
        <v>24</v>
      </c>
      <c r="K99" s="2" t="s">
        <v>24</v>
      </c>
      <c r="L99" t="s">
        <v>24</v>
      </c>
      <c r="M99" t="s">
        <v>24</v>
      </c>
      <c r="N99" t="s">
        <v>24</v>
      </c>
      <c r="O99" t="s">
        <v>68</v>
      </c>
      <c r="P99">
        <v>0.7</v>
      </c>
      <c r="Q99" t="s">
        <v>70</v>
      </c>
      <c r="R99" s="1">
        <v>936.61</v>
      </c>
      <c r="S99" s="1">
        <v>859.12191842080995</v>
      </c>
      <c r="T99" s="1">
        <v>1025.40366189767</v>
      </c>
      <c r="U99" s="1" t="s">
        <v>24</v>
      </c>
      <c r="V99" s="1" t="s">
        <v>24</v>
      </c>
      <c r="W99" s="4" t="s">
        <v>24</v>
      </c>
      <c r="X99" s="1" t="s">
        <v>24</v>
      </c>
      <c r="Y99" s="1" t="s">
        <v>24</v>
      </c>
      <c r="Z99" s="4" t="s">
        <v>24</v>
      </c>
      <c r="AA99" s="1" t="s">
        <v>24</v>
      </c>
      <c r="AB99" s="1" t="s">
        <v>24</v>
      </c>
      <c r="AC99" s="4" t="s">
        <v>24</v>
      </c>
      <c r="AD99" t="s">
        <v>25</v>
      </c>
    </row>
    <row r="100" spans="1:30" hidden="1" x14ac:dyDescent="0.35">
      <c r="A100" t="s">
        <v>66</v>
      </c>
      <c r="B100" t="s">
        <v>32</v>
      </c>
      <c r="C100" t="s">
        <v>42</v>
      </c>
      <c r="D100">
        <v>0.26</v>
      </c>
      <c r="E100">
        <v>5</v>
      </c>
      <c r="F100" t="s">
        <v>22</v>
      </c>
      <c r="G100" t="s">
        <v>29</v>
      </c>
      <c r="H100" t="s">
        <v>67</v>
      </c>
      <c r="I100">
        <v>1</v>
      </c>
      <c r="J100" t="s">
        <v>24</v>
      </c>
      <c r="K100" s="2" t="s">
        <v>24</v>
      </c>
      <c r="L100" t="s">
        <v>24</v>
      </c>
      <c r="M100" t="s">
        <v>24</v>
      </c>
      <c r="N100" t="s">
        <v>24</v>
      </c>
      <c r="O100" t="s">
        <v>68</v>
      </c>
      <c r="P100">
        <v>1</v>
      </c>
      <c r="Q100" t="s">
        <v>70</v>
      </c>
      <c r="R100" s="1">
        <v>2812.86</v>
      </c>
      <c r="S100" s="1">
        <v>2535.79658802223</v>
      </c>
      <c r="T100" s="1">
        <v>3090.0694891548001</v>
      </c>
      <c r="U100" s="1" t="s">
        <v>24</v>
      </c>
      <c r="V100" s="1" t="s">
        <v>24</v>
      </c>
      <c r="W100" s="4" t="s">
        <v>24</v>
      </c>
      <c r="X100" s="1" t="s">
        <v>24</v>
      </c>
      <c r="Y100" s="1" t="s">
        <v>24</v>
      </c>
      <c r="Z100" s="4" t="s">
        <v>24</v>
      </c>
      <c r="AA100" s="1" t="s">
        <v>24</v>
      </c>
      <c r="AB100" s="1" t="s">
        <v>24</v>
      </c>
      <c r="AC100" s="4" t="s">
        <v>24</v>
      </c>
      <c r="AD100" t="s">
        <v>25</v>
      </c>
    </row>
    <row r="101" spans="1:30" hidden="1" x14ac:dyDescent="0.35">
      <c r="A101" t="s">
        <v>66</v>
      </c>
      <c r="B101" t="s">
        <v>32</v>
      </c>
      <c r="C101" t="s">
        <v>42</v>
      </c>
      <c r="D101">
        <v>0.26</v>
      </c>
      <c r="E101">
        <v>5</v>
      </c>
      <c r="F101" t="s">
        <v>22</v>
      </c>
      <c r="G101" t="s">
        <v>29</v>
      </c>
      <c r="H101" t="s">
        <v>67</v>
      </c>
      <c r="I101">
        <v>1</v>
      </c>
      <c r="J101" t="s">
        <v>24</v>
      </c>
      <c r="K101" s="2" t="s">
        <v>24</v>
      </c>
      <c r="L101" t="s">
        <v>24</v>
      </c>
      <c r="M101" t="s">
        <v>24</v>
      </c>
      <c r="N101" t="s">
        <v>24</v>
      </c>
      <c r="O101" t="s">
        <v>68</v>
      </c>
      <c r="P101">
        <v>4</v>
      </c>
      <c r="Q101" t="s">
        <v>70</v>
      </c>
      <c r="R101" s="1">
        <v>5207.38</v>
      </c>
      <c r="S101" s="1">
        <v>4406.4662021370004</v>
      </c>
      <c r="T101" s="1">
        <v>5930.7157287798</v>
      </c>
      <c r="U101" s="1" t="s">
        <v>24</v>
      </c>
      <c r="V101" s="1" t="s">
        <v>24</v>
      </c>
      <c r="W101" s="4" t="s">
        <v>24</v>
      </c>
      <c r="X101" s="1" t="s">
        <v>24</v>
      </c>
      <c r="Y101" s="1" t="s">
        <v>24</v>
      </c>
      <c r="Z101" s="4" t="s">
        <v>24</v>
      </c>
      <c r="AA101" s="1" t="s">
        <v>24</v>
      </c>
      <c r="AB101" s="1" t="s">
        <v>24</v>
      </c>
      <c r="AC101" s="4" t="s">
        <v>24</v>
      </c>
      <c r="AD101" t="s">
        <v>25</v>
      </c>
    </row>
    <row r="102" spans="1:30" hidden="1" x14ac:dyDescent="0.35">
      <c r="A102" t="s">
        <v>66</v>
      </c>
      <c r="B102" t="s">
        <v>32</v>
      </c>
      <c r="C102" t="s">
        <v>42</v>
      </c>
      <c r="D102">
        <v>0.26</v>
      </c>
      <c r="E102">
        <v>5</v>
      </c>
      <c r="F102" t="s">
        <v>22</v>
      </c>
      <c r="G102" t="s">
        <v>29</v>
      </c>
      <c r="H102" t="s">
        <v>67</v>
      </c>
      <c r="I102">
        <v>1</v>
      </c>
      <c r="J102" t="s">
        <v>24</v>
      </c>
      <c r="K102" s="2" t="s">
        <v>24</v>
      </c>
      <c r="L102" t="s">
        <v>24</v>
      </c>
      <c r="M102" t="s">
        <v>24</v>
      </c>
      <c r="N102" t="s">
        <v>24</v>
      </c>
      <c r="O102" t="s">
        <v>68</v>
      </c>
      <c r="P102">
        <v>8</v>
      </c>
      <c r="Q102" t="s">
        <v>70</v>
      </c>
      <c r="R102" s="1">
        <v>1035.01</v>
      </c>
      <c r="S102" s="1">
        <v>789.83828151512296</v>
      </c>
      <c r="T102" s="1">
        <v>1233.25584124376</v>
      </c>
      <c r="U102" s="1" t="s">
        <v>24</v>
      </c>
      <c r="V102" s="1" t="s">
        <v>24</v>
      </c>
      <c r="W102" s="4" t="s">
        <v>24</v>
      </c>
      <c r="X102" s="1" t="s">
        <v>24</v>
      </c>
      <c r="Y102" s="1" t="s">
        <v>24</v>
      </c>
      <c r="Z102" s="4" t="s">
        <v>24</v>
      </c>
      <c r="AA102" s="1" t="s">
        <v>24</v>
      </c>
      <c r="AB102" s="1" t="s">
        <v>24</v>
      </c>
      <c r="AC102" s="4" t="s">
        <v>24</v>
      </c>
      <c r="AD102" t="s">
        <v>25</v>
      </c>
    </row>
    <row r="103" spans="1:30" hidden="1" x14ac:dyDescent="0.35">
      <c r="A103" t="s">
        <v>66</v>
      </c>
      <c r="B103" t="s">
        <v>32</v>
      </c>
      <c r="C103" t="s">
        <v>42</v>
      </c>
      <c r="D103">
        <v>0.26</v>
      </c>
      <c r="E103">
        <v>5</v>
      </c>
      <c r="F103" t="s">
        <v>22</v>
      </c>
      <c r="G103" t="s">
        <v>29</v>
      </c>
      <c r="H103" t="s">
        <v>67</v>
      </c>
      <c r="I103">
        <v>1</v>
      </c>
      <c r="J103" t="s">
        <v>24</v>
      </c>
      <c r="K103" s="2" t="s">
        <v>24</v>
      </c>
      <c r="L103" t="s">
        <v>24</v>
      </c>
      <c r="M103" t="s">
        <v>24</v>
      </c>
      <c r="N103" t="s">
        <v>24</v>
      </c>
      <c r="O103" t="s">
        <v>68</v>
      </c>
      <c r="P103">
        <v>24</v>
      </c>
      <c r="Q103" t="s">
        <v>70</v>
      </c>
      <c r="R103" s="1">
        <v>126.41</v>
      </c>
      <c r="S103" s="1">
        <v>96.998106571181197</v>
      </c>
      <c r="T103" s="1">
        <v>193.994944513338</v>
      </c>
      <c r="U103" s="1" t="s">
        <v>24</v>
      </c>
      <c r="V103" s="1" t="s">
        <v>24</v>
      </c>
      <c r="W103" s="4" t="s">
        <v>24</v>
      </c>
      <c r="X103" s="1" t="s">
        <v>24</v>
      </c>
      <c r="Y103" s="1" t="s">
        <v>24</v>
      </c>
      <c r="Z103" s="4" t="s">
        <v>24</v>
      </c>
      <c r="AA103" s="1" t="s">
        <v>24</v>
      </c>
      <c r="AB103" s="1" t="s">
        <v>24</v>
      </c>
      <c r="AC103" s="4" t="s">
        <v>24</v>
      </c>
      <c r="AD103" t="s">
        <v>25</v>
      </c>
    </row>
    <row r="104" spans="1:30" hidden="1" x14ac:dyDescent="0.35">
      <c r="A104" t="s">
        <v>66</v>
      </c>
      <c r="B104" t="s">
        <v>32</v>
      </c>
      <c r="C104" t="s">
        <v>28</v>
      </c>
      <c r="D104">
        <v>0.26</v>
      </c>
      <c r="E104">
        <v>5</v>
      </c>
      <c r="F104" t="s">
        <v>22</v>
      </c>
      <c r="G104" t="s">
        <v>29</v>
      </c>
      <c r="H104" t="s">
        <v>67</v>
      </c>
      <c r="I104">
        <v>1</v>
      </c>
      <c r="J104" t="s">
        <v>24</v>
      </c>
      <c r="K104" s="2" t="s">
        <v>24</v>
      </c>
      <c r="L104" t="s">
        <v>24</v>
      </c>
      <c r="M104" t="s">
        <v>24</v>
      </c>
      <c r="N104" t="s">
        <v>24</v>
      </c>
      <c r="O104" t="s">
        <v>68</v>
      </c>
      <c r="P104">
        <v>0.5</v>
      </c>
      <c r="Q104" t="s">
        <v>70</v>
      </c>
      <c r="R104" s="1">
        <v>2307.7199999999998</v>
      </c>
      <c r="S104" s="1">
        <v>2078.5217934608499</v>
      </c>
      <c r="T104" s="1">
        <v>2494.2261521530199</v>
      </c>
      <c r="U104" s="1" t="s">
        <v>24</v>
      </c>
      <c r="V104" s="1" t="s">
        <v>24</v>
      </c>
      <c r="W104" s="4" t="s">
        <v>24</v>
      </c>
      <c r="X104" s="1" t="s">
        <v>24</v>
      </c>
      <c r="Y104" s="1" t="s">
        <v>24</v>
      </c>
      <c r="Z104" s="4" t="s">
        <v>24</v>
      </c>
      <c r="AA104" s="1" t="s">
        <v>24</v>
      </c>
      <c r="AB104" s="1" t="s">
        <v>24</v>
      </c>
      <c r="AC104" s="4" t="s">
        <v>24</v>
      </c>
      <c r="AD104" t="s">
        <v>25</v>
      </c>
    </row>
    <row r="105" spans="1:30" hidden="1" x14ac:dyDescent="0.35">
      <c r="A105" t="s">
        <v>66</v>
      </c>
      <c r="B105" t="s">
        <v>32</v>
      </c>
      <c r="C105" t="s">
        <v>28</v>
      </c>
      <c r="D105">
        <v>0.26</v>
      </c>
      <c r="E105">
        <v>5</v>
      </c>
      <c r="F105" t="s">
        <v>22</v>
      </c>
      <c r="G105" t="s">
        <v>29</v>
      </c>
      <c r="H105" t="s">
        <v>67</v>
      </c>
      <c r="I105">
        <v>1</v>
      </c>
      <c r="J105" t="s">
        <v>24</v>
      </c>
      <c r="K105" s="2" t="s">
        <v>24</v>
      </c>
      <c r="L105" t="s">
        <v>24</v>
      </c>
      <c r="M105" t="s">
        <v>24</v>
      </c>
      <c r="N105" t="s">
        <v>24</v>
      </c>
      <c r="O105" t="s">
        <v>68</v>
      </c>
      <c r="P105">
        <v>0.7</v>
      </c>
      <c r="Q105" t="s">
        <v>70</v>
      </c>
      <c r="R105" s="1">
        <v>536.42999999999995</v>
      </c>
      <c r="S105" s="1">
        <v>374.13392282295302</v>
      </c>
      <c r="T105" s="1">
        <v>762.12508047865299</v>
      </c>
      <c r="U105" s="1" t="s">
        <v>24</v>
      </c>
      <c r="V105" s="1" t="s">
        <v>24</v>
      </c>
      <c r="W105" s="4" t="s">
        <v>24</v>
      </c>
      <c r="X105" s="1" t="s">
        <v>24</v>
      </c>
      <c r="Y105" s="1" t="s">
        <v>24</v>
      </c>
      <c r="Z105" s="4" t="s">
        <v>24</v>
      </c>
      <c r="AA105" s="1" t="s">
        <v>24</v>
      </c>
      <c r="AB105" s="1" t="s">
        <v>24</v>
      </c>
      <c r="AC105" s="4" t="s">
        <v>24</v>
      </c>
      <c r="AD105" t="s">
        <v>25</v>
      </c>
    </row>
    <row r="106" spans="1:30" hidden="1" x14ac:dyDescent="0.35">
      <c r="A106" t="s">
        <v>66</v>
      </c>
      <c r="B106" t="s">
        <v>32</v>
      </c>
      <c r="C106" t="s">
        <v>28</v>
      </c>
      <c r="D106">
        <v>0.26</v>
      </c>
      <c r="E106">
        <v>5</v>
      </c>
      <c r="F106" t="s">
        <v>22</v>
      </c>
      <c r="G106" t="s">
        <v>29</v>
      </c>
      <c r="H106" t="s">
        <v>67</v>
      </c>
      <c r="I106">
        <v>1</v>
      </c>
      <c r="J106" t="s">
        <v>24</v>
      </c>
      <c r="K106" s="2" t="s">
        <v>24</v>
      </c>
      <c r="L106" t="s">
        <v>24</v>
      </c>
      <c r="M106" t="s">
        <v>24</v>
      </c>
      <c r="N106" t="s">
        <v>24</v>
      </c>
      <c r="O106" t="s">
        <v>68</v>
      </c>
      <c r="P106">
        <v>1</v>
      </c>
      <c r="Q106" t="s">
        <v>70</v>
      </c>
      <c r="R106" s="1">
        <v>2015.78</v>
      </c>
      <c r="S106" s="1">
        <v>1496.5356912918101</v>
      </c>
      <c r="T106" s="1">
        <v>2452.6557162837998</v>
      </c>
      <c r="U106" s="1" t="s">
        <v>24</v>
      </c>
      <c r="V106" s="1" t="s">
        <v>24</v>
      </c>
      <c r="W106" s="4" t="s">
        <v>24</v>
      </c>
      <c r="X106" s="1" t="s">
        <v>24</v>
      </c>
      <c r="Y106" s="1" t="s">
        <v>24</v>
      </c>
      <c r="Z106" s="4" t="s">
        <v>24</v>
      </c>
      <c r="AA106" s="1" t="s">
        <v>24</v>
      </c>
      <c r="AB106" s="1" t="s">
        <v>24</v>
      </c>
      <c r="AC106" s="4" t="s">
        <v>24</v>
      </c>
      <c r="AD106" t="s">
        <v>25</v>
      </c>
    </row>
    <row r="107" spans="1:30" hidden="1" x14ac:dyDescent="0.35">
      <c r="A107" t="s">
        <v>66</v>
      </c>
      <c r="B107" t="s">
        <v>32</v>
      </c>
      <c r="C107" t="s">
        <v>28</v>
      </c>
      <c r="D107">
        <v>0.26</v>
      </c>
      <c r="E107">
        <v>5</v>
      </c>
      <c r="F107" t="s">
        <v>22</v>
      </c>
      <c r="G107" t="s">
        <v>29</v>
      </c>
      <c r="H107" t="s">
        <v>67</v>
      </c>
      <c r="I107">
        <v>1</v>
      </c>
      <c r="J107" t="s">
        <v>24</v>
      </c>
      <c r="K107" s="2" t="s">
        <v>24</v>
      </c>
      <c r="L107" t="s">
        <v>24</v>
      </c>
      <c r="M107" t="s">
        <v>24</v>
      </c>
      <c r="N107" t="s">
        <v>24</v>
      </c>
      <c r="O107" t="s">
        <v>68</v>
      </c>
      <c r="P107">
        <v>4</v>
      </c>
      <c r="Q107" t="s">
        <v>70</v>
      </c>
      <c r="R107" s="1">
        <v>608.59</v>
      </c>
      <c r="S107" s="1">
        <v>540.41566629982105</v>
      </c>
      <c r="T107" s="1">
        <v>762.12508047865299</v>
      </c>
      <c r="U107" s="1" t="s">
        <v>24</v>
      </c>
      <c r="V107" s="1" t="s">
        <v>24</v>
      </c>
      <c r="W107" s="4" t="s">
        <v>24</v>
      </c>
      <c r="X107" s="1" t="s">
        <v>24</v>
      </c>
      <c r="Y107" s="1" t="s">
        <v>24</v>
      </c>
      <c r="Z107" s="4" t="s">
        <v>24</v>
      </c>
      <c r="AA107" s="1" t="s">
        <v>24</v>
      </c>
      <c r="AB107" s="1" t="s">
        <v>24</v>
      </c>
      <c r="AC107" s="4" t="s">
        <v>24</v>
      </c>
      <c r="AD107" t="s">
        <v>25</v>
      </c>
    </row>
    <row r="108" spans="1:30" hidden="1" x14ac:dyDescent="0.35">
      <c r="A108" t="s">
        <v>66</v>
      </c>
      <c r="B108" t="s">
        <v>32</v>
      </c>
      <c r="C108" t="s">
        <v>28</v>
      </c>
      <c r="D108">
        <v>0.26</v>
      </c>
      <c r="E108">
        <v>5</v>
      </c>
      <c r="F108" t="s">
        <v>22</v>
      </c>
      <c r="G108" t="s">
        <v>29</v>
      </c>
      <c r="H108" t="s">
        <v>67</v>
      </c>
      <c r="I108">
        <v>1</v>
      </c>
      <c r="J108" t="s">
        <v>24</v>
      </c>
      <c r="K108" s="2" t="s">
        <v>24</v>
      </c>
      <c r="L108" t="s">
        <v>24</v>
      </c>
      <c r="M108" t="s">
        <v>24</v>
      </c>
      <c r="N108" t="s">
        <v>24</v>
      </c>
      <c r="O108" t="s">
        <v>68</v>
      </c>
      <c r="P108">
        <v>8</v>
      </c>
      <c r="Q108" t="s">
        <v>70</v>
      </c>
      <c r="R108" s="1">
        <v>579.07000000000005</v>
      </c>
      <c r="S108" s="1">
        <v>429.56159352491699</v>
      </c>
      <c r="T108" s="1">
        <v>789.83828151512296</v>
      </c>
      <c r="U108" s="1" t="s">
        <v>24</v>
      </c>
      <c r="V108" s="1" t="s">
        <v>24</v>
      </c>
      <c r="W108" s="4" t="s">
        <v>24</v>
      </c>
      <c r="X108" s="1" t="s">
        <v>24</v>
      </c>
      <c r="Y108" s="1" t="s">
        <v>24</v>
      </c>
      <c r="Z108" s="4" t="s">
        <v>24</v>
      </c>
      <c r="AA108" s="1" t="s">
        <v>24</v>
      </c>
      <c r="AB108" s="1" t="s">
        <v>24</v>
      </c>
      <c r="AC108" s="4" t="s">
        <v>24</v>
      </c>
      <c r="AD108" t="s">
        <v>25</v>
      </c>
    </row>
    <row r="109" spans="1:30" hidden="1" x14ac:dyDescent="0.35">
      <c r="A109" t="s">
        <v>66</v>
      </c>
      <c r="B109" t="s">
        <v>32</v>
      </c>
      <c r="C109" t="s">
        <v>28</v>
      </c>
      <c r="D109">
        <v>0.26</v>
      </c>
      <c r="E109">
        <v>5</v>
      </c>
      <c r="F109" t="s">
        <v>22</v>
      </c>
      <c r="G109" t="s">
        <v>29</v>
      </c>
      <c r="H109" t="s">
        <v>67</v>
      </c>
      <c r="I109">
        <v>1</v>
      </c>
      <c r="J109" t="s">
        <v>24</v>
      </c>
      <c r="K109" s="2" t="s">
        <v>24</v>
      </c>
      <c r="L109" t="s">
        <v>24</v>
      </c>
      <c r="M109" t="s">
        <v>24</v>
      </c>
      <c r="N109" t="s">
        <v>24</v>
      </c>
      <c r="O109" t="s">
        <v>68</v>
      </c>
      <c r="P109">
        <v>24</v>
      </c>
      <c r="Q109" t="s">
        <v>70</v>
      </c>
      <c r="R109" s="1">
        <v>116.57</v>
      </c>
      <c r="S109" s="1">
        <v>13.8572348327471</v>
      </c>
      <c r="T109" s="1">
        <v>249.42261521530199</v>
      </c>
      <c r="U109" s="1" t="s">
        <v>24</v>
      </c>
      <c r="V109" s="1" t="s">
        <v>24</v>
      </c>
      <c r="W109" s="4" t="s">
        <v>24</v>
      </c>
      <c r="X109" s="1" t="s">
        <v>24</v>
      </c>
      <c r="Y109" s="1" t="s">
        <v>24</v>
      </c>
      <c r="Z109" s="4" t="s">
        <v>24</v>
      </c>
      <c r="AA109" s="1" t="s">
        <v>24</v>
      </c>
      <c r="AB109" s="1" t="s">
        <v>24</v>
      </c>
      <c r="AC109" s="4" t="s">
        <v>24</v>
      </c>
      <c r="AD109" t="s">
        <v>25</v>
      </c>
    </row>
    <row r="110" spans="1:30" hidden="1" x14ac:dyDescent="0.35">
      <c r="A110" t="s">
        <v>66</v>
      </c>
      <c r="B110" t="s">
        <v>32</v>
      </c>
      <c r="C110" t="s">
        <v>42</v>
      </c>
      <c r="D110">
        <v>0.26</v>
      </c>
      <c r="E110">
        <v>5</v>
      </c>
      <c r="F110" t="s">
        <v>22</v>
      </c>
      <c r="G110" t="s">
        <v>29</v>
      </c>
      <c r="H110" t="s">
        <v>67</v>
      </c>
      <c r="I110">
        <v>1</v>
      </c>
      <c r="J110" t="s">
        <v>24</v>
      </c>
      <c r="K110" s="2" t="s">
        <v>24</v>
      </c>
      <c r="L110" t="s">
        <v>24</v>
      </c>
      <c r="M110" t="s">
        <v>24</v>
      </c>
      <c r="N110" t="s">
        <v>24</v>
      </c>
      <c r="O110" t="s">
        <v>30</v>
      </c>
      <c r="P110">
        <v>0.5</v>
      </c>
      <c r="Q110" t="s">
        <v>70</v>
      </c>
      <c r="R110" s="1">
        <v>1.28</v>
      </c>
      <c r="S110" s="1">
        <v>0.44609670488398101</v>
      </c>
      <c r="T110" s="1">
        <v>2.0074351719779102</v>
      </c>
      <c r="U110" s="1" t="s">
        <v>24</v>
      </c>
      <c r="V110" s="1" t="s">
        <v>24</v>
      </c>
      <c r="W110" s="4" t="s">
        <v>24</v>
      </c>
      <c r="X110" s="1" t="s">
        <v>24</v>
      </c>
      <c r="Y110" s="1" t="s">
        <v>24</v>
      </c>
      <c r="Z110" s="4" t="s">
        <v>24</v>
      </c>
      <c r="AA110" s="1" t="s">
        <v>24</v>
      </c>
      <c r="AB110" s="1" t="s">
        <v>24</v>
      </c>
      <c r="AC110" s="4" t="s">
        <v>24</v>
      </c>
      <c r="AD110" t="s">
        <v>25</v>
      </c>
    </row>
    <row r="111" spans="1:30" hidden="1" x14ac:dyDescent="0.35">
      <c r="A111" t="s">
        <v>66</v>
      </c>
      <c r="B111" t="s">
        <v>32</v>
      </c>
      <c r="C111" t="s">
        <v>42</v>
      </c>
      <c r="D111">
        <v>0.26</v>
      </c>
      <c r="E111">
        <v>5</v>
      </c>
      <c r="F111" t="s">
        <v>22</v>
      </c>
      <c r="G111" t="s">
        <v>29</v>
      </c>
      <c r="H111" t="s">
        <v>67</v>
      </c>
      <c r="I111">
        <v>1</v>
      </c>
      <c r="J111" t="s">
        <v>24</v>
      </c>
      <c r="K111" s="2" t="s">
        <v>24</v>
      </c>
      <c r="L111" t="s">
        <v>24</v>
      </c>
      <c r="M111" t="s">
        <v>24</v>
      </c>
      <c r="N111" t="s">
        <v>24</v>
      </c>
      <c r="O111" t="s">
        <v>30</v>
      </c>
      <c r="P111">
        <v>0.7</v>
      </c>
      <c r="Q111" t="s">
        <v>70</v>
      </c>
      <c r="R111" s="1">
        <v>1.98</v>
      </c>
      <c r="S111" s="1">
        <v>0</v>
      </c>
      <c r="T111" s="1">
        <v>1.6356833799775801</v>
      </c>
      <c r="U111" s="1" t="s">
        <v>24</v>
      </c>
      <c r="V111" s="1" t="s">
        <v>24</v>
      </c>
      <c r="W111" s="4" t="s">
        <v>24</v>
      </c>
      <c r="X111" s="1" t="s">
        <v>24</v>
      </c>
      <c r="Y111" s="1" t="s">
        <v>24</v>
      </c>
      <c r="Z111" s="4" t="s">
        <v>24</v>
      </c>
      <c r="AA111" s="1" t="s">
        <v>24</v>
      </c>
      <c r="AB111" s="1" t="s">
        <v>24</v>
      </c>
      <c r="AC111" s="4" t="s">
        <v>24</v>
      </c>
      <c r="AD111" t="s">
        <v>25</v>
      </c>
    </row>
    <row r="112" spans="1:30" hidden="1" x14ac:dyDescent="0.35">
      <c r="A112" t="s">
        <v>66</v>
      </c>
      <c r="B112" t="s">
        <v>32</v>
      </c>
      <c r="C112" t="s">
        <v>42</v>
      </c>
      <c r="D112">
        <v>0.26</v>
      </c>
      <c r="E112">
        <v>5</v>
      </c>
      <c r="F112" t="s">
        <v>22</v>
      </c>
      <c r="G112" t="s">
        <v>29</v>
      </c>
      <c r="H112" t="s">
        <v>67</v>
      </c>
      <c r="I112">
        <v>1</v>
      </c>
      <c r="J112" t="s">
        <v>24</v>
      </c>
      <c r="K112" s="2" t="s">
        <v>24</v>
      </c>
      <c r="L112" t="s">
        <v>24</v>
      </c>
      <c r="M112" t="s">
        <v>24</v>
      </c>
      <c r="N112" t="s">
        <v>24</v>
      </c>
      <c r="O112" t="s">
        <v>30</v>
      </c>
      <c r="P112">
        <v>1</v>
      </c>
      <c r="Q112" t="s">
        <v>70</v>
      </c>
      <c r="R112" s="1">
        <v>2.64</v>
      </c>
      <c r="S112" s="1">
        <v>1.4126350275355899</v>
      </c>
      <c r="T112" s="1">
        <v>3.27137356685069</v>
      </c>
      <c r="U112" s="1" t="s">
        <v>24</v>
      </c>
      <c r="V112" s="1" t="s">
        <v>24</v>
      </c>
      <c r="W112" s="4" t="s">
        <v>24</v>
      </c>
      <c r="X112" s="1" t="s">
        <v>24</v>
      </c>
      <c r="Y112" s="1" t="s">
        <v>24</v>
      </c>
      <c r="Z112" s="4" t="s">
        <v>24</v>
      </c>
      <c r="AA112" s="1" t="s">
        <v>24</v>
      </c>
      <c r="AB112" s="1" t="s">
        <v>24</v>
      </c>
      <c r="AC112" s="4" t="s">
        <v>24</v>
      </c>
      <c r="AD112" t="s">
        <v>25</v>
      </c>
    </row>
    <row r="113" spans="1:30" hidden="1" x14ac:dyDescent="0.35">
      <c r="A113" t="s">
        <v>66</v>
      </c>
      <c r="B113" t="s">
        <v>32</v>
      </c>
      <c r="C113" t="s">
        <v>42</v>
      </c>
      <c r="D113">
        <v>0.26</v>
      </c>
      <c r="E113">
        <v>5</v>
      </c>
      <c r="F113" t="s">
        <v>22</v>
      </c>
      <c r="G113" t="s">
        <v>29</v>
      </c>
      <c r="H113" t="s">
        <v>67</v>
      </c>
      <c r="I113">
        <v>1</v>
      </c>
      <c r="J113" t="s">
        <v>24</v>
      </c>
      <c r="K113" s="2" t="s">
        <v>24</v>
      </c>
      <c r="L113" t="s">
        <v>24</v>
      </c>
      <c r="M113" t="s">
        <v>24</v>
      </c>
      <c r="N113" t="s">
        <v>24</v>
      </c>
      <c r="O113" t="s">
        <v>30</v>
      </c>
      <c r="P113">
        <v>4</v>
      </c>
      <c r="Q113" t="s">
        <v>70</v>
      </c>
      <c r="R113" s="1">
        <v>10.28</v>
      </c>
      <c r="S113" s="1">
        <v>5.0557603863866101</v>
      </c>
      <c r="T113" s="1">
        <v>15.4646846348287</v>
      </c>
      <c r="U113" s="1" t="s">
        <v>24</v>
      </c>
      <c r="V113" s="1" t="s">
        <v>24</v>
      </c>
      <c r="W113" s="4" t="s">
        <v>24</v>
      </c>
      <c r="X113" s="1" t="s">
        <v>24</v>
      </c>
      <c r="Y113" s="1" t="s">
        <v>24</v>
      </c>
      <c r="Z113" s="4" t="s">
        <v>24</v>
      </c>
      <c r="AA113" s="1" t="s">
        <v>24</v>
      </c>
      <c r="AB113" s="1" t="s">
        <v>24</v>
      </c>
      <c r="AC113" s="4" t="s">
        <v>24</v>
      </c>
      <c r="AD113" t="s">
        <v>25</v>
      </c>
    </row>
    <row r="114" spans="1:30" hidden="1" x14ac:dyDescent="0.35">
      <c r="A114" t="s">
        <v>66</v>
      </c>
      <c r="B114" t="s">
        <v>32</v>
      </c>
      <c r="C114" t="s">
        <v>42</v>
      </c>
      <c r="D114">
        <v>0.26</v>
      </c>
      <c r="E114">
        <v>5</v>
      </c>
      <c r="F114" t="s">
        <v>22</v>
      </c>
      <c r="G114" t="s">
        <v>29</v>
      </c>
      <c r="H114" t="s">
        <v>67</v>
      </c>
      <c r="I114">
        <v>1</v>
      </c>
      <c r="J114" t="s">
        <v>24</v>
      </c>
      <c r="K114" s="2" t="s">
        <v>24</v>
      </c>
      <c r="L114" t="s">
        <v>24</v>
      </c>
      <c r="M114" t="s">
        <v>24</v>
      </c>
      <c r="N114" t="s">
        <v>24</v>
      </c>
      <c r="O114" t="s">
        <v>30</v>
      </c>
      <c r="P114">
        <v>8</v>
      </c>
      <c r="Q114" t="s">
        <v>70</v>
      </c>
      <c r="R114" s="1">
        <v>3.89</v>
      </c>
      <c r="S114" s="1">
        <v>2.6765802293038798</v>
      </c>
      <c r="T114" s="1">
        <v>6.6170988534805497</v>
      </c>
      <c r="U114" s="1" t="s">
        <v>24</v>
      </c>
      <c r="V114" s="1" t="s">
        <v>24</v>
      </c>
      <c r="W114" s="4" t="s">
        <v>24</v>
      </c>
      <c r="X114" s="1" t="s">
        <v>24</v>
      </c>
      <c r="Y114" s="1" t="s">
        <v>24</v>
      </c>
      <c r="Z114" s="4" t="s">
        <v>24</v>
      </c>
      <c r="AA114" s="1" t="s">
        <v>24</v>
      </c>
      <c r="AB114" s="1" t="s">
        <v>24</v>
      </c>
      <c r="AC114" s="4" t="s">
        <v>24</v>
      </c>
      <c r="AD114" t="s">
        <v>25</v>
      </c>
    </row>
    <row r="115" spans="1:30" hidden="1" x14ac:dyDescent="0.35">
      <c r="A115" t="s">
        <v>66</v>
      </c>
      <c r="B115" t="s">
        <v>32</v>
      </c>
      <c r="C115" t="s">
        <v>42</v>
      </c>
      <c r="D115">
        <v>0.26</v>
      </c>
      <c r="E115">
        <v>5</v>
      </c>
      <c r="F115" t="s">
        <v>22</v>
      </c>
      <c r="G115" t="s">
        <v>29</v>
      </c>
      <c r="H115" t="s">
        <v>67</v>
      </c>
      <c r="I115">
        <v>1</v>
      </c>
      <c r="J115" t="s">
        <v>24</v>
      </c>
      <c r="K115" s="2" t="s">
        <v>24</v>
      </c>
      <c r="L115" t="s">
        <v>24</v>
      </c>
      <c r="M115" t="s">
        <v>24</v>
      </c>
      <c r="N115" t="s">
        <v>24</v>
      </c>
      <c r="O115" t="s">
        <v>30</v>
      </c>
      <c r="P115">
        <v>24</v>
      </c>
      <c r="Q115" t="s">
        <v>70</v>
      </c>
      <c r="R115" s="1">
        <v>1.38</v>
      </c>
      <c r="S115" s="1">
        <v>0.44609670488398101</v>
      </c>
      <c r="T115" s="1">
        <v>2.6022285095247102</v>
      </c>
      <c r="U115" s="1" t="s">
        <v>24</v>
      </c>
      <c r="V115" s="1" t="s">
        <v>24</v>
      </c>
      <c r="W115" s="4" t="s">
        <v>24</v>
      </c>
      <c r="X115" s="1" t="s">
        <v>24</v>
      </c>
      <c r="Y115" s="1" t="s">
        <v>24</v>
      </c>
      <c r="Z115" s="4" t="s">
        <v>24</v>
      </c>
      <c r="AA115" s="1" t="s">
        <v>24</v>
      </c>
      <c r="AB115" s="1" t="s">
        <v>24</v>
      </c>
      <c r="AC115" s="4" t="s">
        <v>24</v>
      </c>
      <c r="AD115" t="s">
        <v>25</v>
      </c>
    </row>
    <row r="116" spans="1:30" hidden="1" x14ac:dyDescent="0.35">
      <c r="A116" t="s">
        <v>66</v>
      </c>
      <c r="B116" t="s">
        <v>32</v>
      </c>
      <c r="C116" t="s">
        <v>28</v>
      </c>
      <c r="D116">
        <v>0.26</v>
      </c>
      <c r="E116">
        <v>5</v>
      </c>
      <c r="F116" t="s">
        <v>22</v>
      </c>
      <c r="G116" t="s">
        <v>29</v>
      </c>
      <c r="H116" t="s">
        <v>67</v>
      </c>
      <c r="I116">
        <v>1</v>
      </c>
      <c r="J116" t="s">
        <v>24</v>
      </c>
      <c r="K116" s="2" t="s">
        <v>24</v>
      </c>
      <c r="L116" t="s">
        <v>24</v>
      </c>
      <c r="M116" t="s">
        <v>24</v>
      </c>
      <c r="N116" t="s">
        <v>24</v>
      </c>
      <c r="O116" t="s">
        <v>30</v>
      </c>
      <c r="P116">
        <v>0.5</v>
      </c>
      <c r="Q116" t="s">
        <v>70</v>
      </c>
      <c r="R116" s="1">
        <v>2.5099999999999998</v>
      </c>
      <c r="S116" s="1">
        <v>1.11524176220995</v>
      </c>
      <c r="T116" s="1">
        <v>3.9405186241766601</v>
      </c>
      <c r="U116" s="1" t="s">
        <v>24</v>
      </c>
      <c r="V116" s="1" t="s">
        <v>24</v>
      </c>
      <c r="W116" s="4" t="s">
        <v>24</v>
      </c>
      <c r="X116" s="1" t="s">
        <v>24</v>
      </c>
      <c r="Y116" s="1" t="s">
        <v>24</v>
      </c>
      <c r="Z116" s="4" t="s">
        <v>24</v>
      </c>
      <c r="AA116" s="1" t="s">
        <v>24</v>
      </c>
      <c r="AB116" s="1" t="s">
        <v>24</v>
      </c>
      <c r="AC116" s="4" t="s">
        <v>24</v>
      </c>
      <c r="AD116" t="s">
        <v>25</v>
      </c>
    </row>
    <row r="117" spans="1:30" hidden="1" x14ac:dyDescent="0.35">
      <c r="A117" t="s">
        <v>66</v>
      </c>
      <c r="B117" t="s">
        <v>32</v>
      </c>
      <c r="C117" t="s">
        <v>28</v>
      </c>
      <c r="D117">
        <v>0.26</v>
      </c>
      <c r="E117">
        <v>5</v>
      </c>
      <c r="F117" t="s">
        <v>22</v>
      </c>
      <c r="G117" t="s">
        <v>29</v>
      </c>
      <c r="H117" t="s">
        <v>67</v>
      </c>
      <c r="I117">
        <v>1</v>
      </c>
      <c r="J117" t="s">
        <v>24</v>
      </c>
      <c r="K117" s="2" t="s">
        <v>24</v>
      </c>
      <c r="L117" t="s">
        <v>24</v>
      </c>
      <c r="M117" t="s">
        <v>24</v>
      </c>
      <c r="N117" t="s">
        <v>24</v>
      </c>
      <c r="O117" t="s">
        <v>30</v>
      </c>
      <c r="P117">
        <v>0.7</v>
      </c>
      <c r="Q117" t="s">
        <v>70</v>
      </c>
      <c r="R117" s="1">
        <v>0.85</v>
      </c>
      <c r="S117" s="1">
        <v>7.4344912883649306E-2</v>
      </c>
      <c r="T117" s="1">
        <v>2.1561318046407298</v>
      </c>
      <c r="U117" s="1" t="s">
        <v>24</v>
      </c>
      <c r="V117" s="1" t="s">
        <v>24</v>
      </c>
      <c r="W117" s="4" t="s">
        <v>24</v>
      </c>
      <c r="X117" s="1" t="s">
        <v>24</v>
      </c>
      <c r="Y117" s="1" t="s">
        <v>24</v>
      </c>
      <c r="Z117" s="4" t="s">
        <v>24</v>
      </c>
      <c r="AA117" s="1" t="s">
        <v>24</v>
      </c>
      <c r="AB117" s="1" t="s">
        <v>24</v>
      </c>
      <c r="AC117" s="4" t="s">
        <v>24</v>
      </c>
      <c r="AD117" t="s">
        <v>25</v>
      </c>
    </row>
    <row r="118" spans="1:30" hidden="1" x14ac:dyDescent="0.35">
      <c r="A118" t="s">
        <v>66</v>
      </c>
      <c r="B118" t="s">
        <v>32</v>
      </c>
      <c r="C118" t="s">
        <v>28</v>
      </c>
      <c r="D118">
        <v>0.26</v>
      </c>
      <c r="E118">
        <v>5</v>
      </c>
      <c r="F118" t="s">
        <v>22</v>
      </c>
      <c r="G118" t="s">
        <v>29</v>
      </c>
      <c r="H118" t="s">
        <v>67</v>
      </c>
      <c r="I118">
        <v>1</v>
      </c>
      <c r="J118" t="s">
        <v>24</v>
      </c>
      <c r="K118" s="2" t="s">
        <v>24</v>
      </c>
      <c r="L118" t="s">
        <v>24</v>
      </c>
      <c r="M118" t="s">
        <v>24</v>
      </c>
      <c r="N118" t="s">
        <v>24</v>
      </c>
      <c r="O118" t="s">
        <v>30</v>
      </c>
      <c r="P118">
        <v>1</v>
      </c>
      <c r="Q118" t="s">
        <v>70</v>
      </c>
      <c r="R118" s="1">
        <v>1.64</v>
      </c>
      <c r="S118" s="1">
        <v>7.4344912883649306E-2</v>
      </c>
      <c r="T118" s="1">
        <v>2.6765802293038798</v>
      </c>
      <c r="U118" s="1" t="s">
        <v>24</v>
      </c>
      <c r="V118" s="1" t="s">
        <v>24</v>
      </c>
      <c r="W118" s="4" t="s">
        <v>24</v>
      </c>
      <c r="X118" s="1" t="s">
        <v>24</v>
      </c>
      <c r="Y118" s="1" t="s">
        <v>24</v>
      </c>
      <c r="Z118" s="4" t="s">
        <v>24</v>
      </c>
      <c r="AA118" s="1" t="s">
        <v>24</v>
      </c>
      <c r="AB118" s="1" t="s">
        <v>24</v>
      </c>
      <c r="AC118" s="4" t="s">
        <v>24</v>
      </c>
      <c r="AD118" t="s">
        <v>25</v>
      </c>
    </row>
    <row r="119" spans="1:30" hidden="1" x14ac:dyDescent="0.35">
      <c r="A119" t="s">
        <v>66</v>
      </c>
      <c r="B119" t="s">
        <v>32</v>
      </c>
      <c r="C119" t="s">
        <v>28</v>
      </c>
      <c r="D119">
        <v>0.26</v>
      </c>
      <c r="E119">
        <v>5</v>
      </c>
      <c r="F119" t="s">
        <v>22</v>
      </c>
      <c r="G119" t="s">
        <v>29</v>
      </c>
      <c r="H119" t="s">
        <v>67</v>
      </c>
      <c r="I119">
        <v>1</v>
      </c>
      <c r="J119" t="s">
        <v>24</v>
      </c>
      <c r="K119" s="2" t="s">
        <v>24</v>
      </c>
      <c r="L119" t="s">
        <v>24</v>
      </c>
      <c r="M119" t="s">
        <v>24</v>
      </c>
      <c r="N119" t="s">
        <v>24</v>
      </c>
      <c r="O119" t="s">
        <v>30</v>
      </c>
      <c r="P119">
        <v>4</v>
      </c>
      <c r="Q119" t="s">
        <v>70</v>
      </c>
      <c r="R119" s="1">
        <v>2.95</v>
      </c>
      <c r="S119" s="1">
        <v>0.66914505732597196</v>
      </c>
      <c r="T119" s="1">
        <v>3.79182199151384</v>
      </c>
      <c r="U119" s="1" t="s">
        <v>24</v>
      </c>
      <c r="V119" s="1" t="s">
        <v>24</v>
      </c>
      <c r="W119" s="4" t="s">
        <v>24</v>
      </c>
      <c r="X119" s="1" t="s">
        <v>24</v>
      </c>
      <c r="Y119" s="1" t="s">
        <v>24</v>
      </c>
      <c r="Z119" s="4" t="s">
        <v>24</v>
      </c>
      <c r="AA119" s="1" t="s">
        <v>24</v>
      </c>
      <c r="AB119" s="1" t="s">
        <v>24</v>
      </c>
      <c r="AC119" s="4" t="s">
        <v>24</v>
      </c>
      <c r="AD119" t="s">
        <v>25</v>
      </c>
    </row>
    <row r="120" spans="1:30" hidden="1" x14ac:dyDescent="0.35">
      <c r="A120" t="s">
        <v>66</v>
      </c>
      <c r="B120" t="s">
        <v>32</v>
      </c>
      <c r="C120" t="s">
        <v>28</v>
      </c>
      <c r="D120">
        <v>0.26</v>
      </c>
      <c r="E120">
        <v>5</v>
      </c>
      <c r="F120" t="s">
        <v>22</v>
      </c>
      <c r="G120" t="s">
        <v>29</v>
      </c>
      <c r="H120" t="s">
        <v>67</v>
      </c>
      <c r="I120">
        <v>1</v>
      </c>
      <c r="J120" t="s">
        <v>24</v>
      </c>
      <c r="K120" s="2" t="s">
        <v>24</v>
      </c>
      <c r="L120" t="s">
        <v>24</v>
      </c>
      <c r="M120" t="s">
        <v>24</v>
      </c>
      <c r="N120" t="s">
        <v>24</v>
      </c>
      <c r="O120" t="s">
        <v>30</v>
      </c>
      <c r="P120">
        <v>8</v>
      </c>
      <c r="Q120" t="s">
        <v>70</v>
      </c>
      <c r="R120" s="1">
        <v>1.91</v>
      </c>
      <c r="S120" s="1">
        <v>1.9330834521987399</v>
      </c>
      <c r="T120" s="1">
        <v>2.8996285817458798</v>
      </c>
      <c r="U120" s="1" t="s">
        <v>24</v>
      </c>
      <c r="V120" s="1" t="s">
        <v>24</v>
      </c>
      <c r="W120" s="4" t="s">
        <v>24</v>
      </c>
      <c r="X120" s="1" t="s">
        <v>24</v>
      </c>
      <c r="Y120" s="1" t="s">
        <v>24</v>
      </c>
      <c r="Z120" s="4" t="s">
        <v>24</v>
      </c>
      <c r="AA120" s="1" t="s">
        <v>24</v>
      </c>
      <c r="AB120" s="1" t="s">
        <v>24</v>
      </c>
      <c r="AC120" s="4" t="s">
        <v>24</v>
      </c>
      <c r="AD120" t="s">
        <v>25</v>
      </c>
    </row>
    <row r="121" spans="1:30" hidden="1" x14ac:dyDescent="0.35">
      <c r="A121" t="s">
        <v>66</v>
      </c>
      <c r="B121" t="s">
        <v>32</v>
      </c>
      <c r="C121" t="s">
        <v>28</v>
      </c>
      <c r="D121">
        <v>0.26</v>
      </c>
      <c r="E121">
        <v>5</v>
      </c>
      <c r="F121" t="s">
        <v>22</v>
      </c>
      <c r="G121" t="s">
        <v>29</v>
      </c>
      <c r="H121" t="s">
        <v>67</v>
      </c>
      <c r="I121">
        <v>1</v>
      </c>
      <c r="J121" t="s">
        <v>24</v>
      </c>
      <c r="K121" s="2" t="s">
        <v>24</v>
      </c>
      <c r="L121" t="s">
        <v>24</v>
      </c>
      <c r="M121" t="s">
        <v>24</v>
      </c>
      <c r="N121" t="s">
        <v>24</v>
      </c>
      <c r="O121" t="s">
        <v>30</v>
      </c>
      <c r="P121">
        <v>24</v>
      </c>
      <c r="Q121" t="s">
        <v>70</v>
      </c>
      <c r="R121" s="1">
        <v>0.85</v>
      </c>
      <c r="S121" s="1">
        <v>0</v>
      </c>
      <c r="T121" s="1">
        <v>1.7100350997567499</v>
      </c>
      <c r="U121" s="1" t="s">
        <v>24</v>
      </c>
      <c r="V121" s="1" t="s">
        <v>24</v>
      </c>
      <c r="W121" s="4" t="s">
        <v>24</v>
      </c>
      <c r="X121" s="1" t="s">
        <v>24</v>
      </c>
      <c r="Y121" s="1" t="s">
        <v>24</v>
      </c>
      <c r="Z121" s="4" t="s">
        <v>24</v>
      </c>
      <c r="AA121" s="1" t="s">
        <v>24</v>
      </c>
      <c r="AB121" s="1" t="s">
        <v>24</v>
      </c>
      <c r="AC121" s="4" t="s">
        <v>24</v>
      </c>
      <c r="AD121" t="s">
        <v>25</v>
      </c>
    </row>
    <row r="122" spans="1:30" hidden="1" x14ac:dyDescent="0.35">
      <c r="A122" t="s">
        <v>66</v>
      </c>
      <c r="B122" t="s">
        <v>32</v>
      </c>
      <c r="C122" t="s">
        <v>42</v>
      </c>
      <c r="D122">
        <v>0.26</v>
      </c>
      <c r="E122">
        <v>5</v>
      </c>
      <c r="F122" t="s">
        <v>22</v>
      </c>
      <c r="G122" t="s">
        <v>29</v>
      </c>
      <c r="H122" t="s">
        <v>67</v>
      </c>
      <c r="I122">
        <v>1</v>
      </c>
      <c r="J122" t="s">
        <v>24</v>
      </c>
      <c r="K122" s="2" t="s">
        <v>24</v>
      </c>
      <c r="L122" t="s">
        <v>24</v>
      </c>
      <c r="M122" t="s">
        <v>24</v>
      </c>
      <c r="N122" t="s">
        <v>24</v>
      </c>
      <c r="O122" t="s">
        <v>69</v>
      </c>
      <c r="P122">
        <v>0.5</v>
      </c>
      <c r="Q122" t="s">
        <v>70</v>
      </c>
      <c r="R122" s="1">
        <v>27.16</v>
      </c>
      <c r="S122" s="1">
        <v>22.027969677481501</v>
      </c>
      <c r="T122" s="1">
        <v>31.818189093509499</v>
      </c>
      <c r="U122" s="1" t="s">
        <v>24</v>
      </c>
      <c r="V122" s="1" t="s">
        <v>24</v>
      </c>
      <c r="W122" s="4" t="s">
        <v>24</v>
      </c>
      <c r="X122" s="1" t="s">
        <v>24</v>
      </c>
      <c r="Y122" s="1" t="s">
        <v>24</v>
      </c>
      <c r="Z122" s="4" t="s">
        <v>24</v>
      </c>
      <c r="AA122" s="1" t="s">
        <v>24</v>
      </c>
      <c r="AB122" s="1" t="s">
        <v>24</v>
      </c>
      <c r="AC122" s="4" t="s">
        <v>24</v>
      </c>
      <c r="AD122" t="s">
        <v>25</v>
      </c>
    </row>
    <row r="123" spans="1:30" hidden="1" x14ac:dyDescent="0.35">
      <c r="A123" t="s">
        <v>66</v>
      </c>
      <c r="B123" t="s">
        <v>32</v>
      </c>
      <c r="C123" t="s">
        <v>42</v>
      </c>
      <c r="D123">
        <v>0.26</v>
      </c>
      <c r="E123">
        <v>5</v>
      </c>
      <c r="F123" t="s">
        <v>22</v>
      </c>
      <c r="G123" t="s">
        <v>29</v>
      </c>
      <c r="H123" t="s">
        <v>67</v>
      </c>
      <c r="I123">
        <v>1</v>
      </c>
      <c r="J123" t="s">
        <v>24</v>
      </c>
      <c r="K123" s="2" t="s">
        <v>24</v>
      </c>
      <c r="L123" t="s">
        <v>24</v>
      </c>
      <c r="M123" t="s">
        <v>24</v>
      </c>
      <c r="N123" t="s">
        <v>24</v>
      </c>
      <c r="O123" t="s">
        <v>69</v>
      </c>
      <c r="P123">
        <v>0.7</v>
      </c>
      <c r="Q123" t="s">
        <v>70</v>
      </c>
      <c r="R123" s="1">
        <v>16.3</v>
      </c>
      <c r="S123" s="1">
        <v>16.3</v>
      </c>
      <c r="T123" s="1">
        <v>16.3</v>
      </c>
      <c r="U123" s="1" t="s">
        <v>24</v>
      </c>
      <c r="V123" s="1" t="s">
        <v>24</v>
      </c>
      <c r="W123" s="4" t="s">
        <v>24</v>
      </c>
      <c r="X123" s="1" t="s">
        <v>24</v>
      </c>
      <c r="Y123" s="1" t="s">
        <v>24</v>
      </c>
      <c r="Z123" s="4" t="s">
        <v>24</v>
      </c>
      <c r="AA123" s="1" t="s">
        <v>24</v>
      </c>
      <c r="AB123" s="1" t="s">
        <v>24</v>
      </c>
      <c r="AC123" s="4" t="s">
        <v>24</v>
      </c>
      <c r="AD123" t="s">
        <v>25</v>
      </c>
    </row>
    <row r="124" spans="1:30" hidden="1" x14ac:dyDescent="0.35">
      <c r="A124" t="s">
        <v>66</v>
      </c>
      <c r="B124" t="s">
        <v>32</v>
      </c>
      <c r="C124" t="s">
        <v>42</v>
      </c>
      <c r="D124">
        <v>0.26</v>
      </c>
      <c r="E124">
        <v>5</v>
      </c>
      <c r="F124" t="s">
        <v>22</v>
      </c>
      <c r="G124" t="s">
        <v>29</v>
      </c>
      <c r="H124" t="s">
        <v>67</v>
      </c>
      <c r="I124">
        <v>1</v>
      </c>
      <c r="J124" t="s">
        <v>24</v>
      </c>
      <c r="K124" s="2" t="s">
        <v>24</v>
      </c>
      <c r="L124" t="s">
        <v>24</v>
      </c>
      <c r="M124" t="s">
        <v>24</v>
      </c>
      <c r="N124" t="s">
        <v>24</v>
      </c>
      <c r="O124" t="s">
        <v>69</v>
      </c>
      <c r="P124">
        <v>1</v>
      </c>
      <c r="Q124" t="s">
        <v>70</v>
      </c>
      <c r="R124" s="1">
        <v>56.24</v>
      </c>
      <c r="S124" s="1">
        <v>43.356649400761803</v>
      </c>
      <c r="T124" s="1">
        <v>68.181826912211505</v>
      </c>
      <c r="U124" s="1" t="s">
        <v>24</v>
      </c>
      <c r="V124" s="1" t="s">
        <v>24</v>
      </c>
      <c r="W124" s="4" t="s">
        <v>24</v>
      </c>
      <c r="X124" s="1" t="s">
        <v>24</v>
      </c>
      <c r="Y124" s="1" t="s">
        <v>24</v>
      </c>
      <c r="Z124" s="4" t="s">
        <v>24</v>
      </c>
      <c r="AA124" s="1" t="s">
        <v>24</v>
      </c>
      <c r="AB124" s="1" t="s">
        <v>24</v>
      </c>
      <c r="AC124" s="4" t="s">
        <v>24</v>
      </c>
      <c r="AD124" t="s">
        <v>25</v>
      </c>
    </row>
    <row r="125" spans="1:30" hidden="1" x14ac:dyDescent="0.35">
      <c r="A125" t="s">
        <v>66</v>
      </c>
      <c r="B125" t="s">
        <v>32</v>
      </c>
      <c r="C125" t="s">
        <v>42</v>
      </c>
      <c r="D125">
        <v>0.26</v>
      </c>
      <c r="E125">
        <v>5</v>
      </c>
      <c r="F125" t="s">
        <v>22</v>
      </c>
      <c r="G125" t="s">
        <v>29</v>
      </c>
      <c r="H125" t="s">
        <v>67</v>
      </c>
      <c r="I125">
        <v>1</v>
      </c>
      <c r="J125" t="s">
        <v>24</v>
      </c>
      <c r="K125" s="2" t="s">
        <v>24</v>
      </c>
      <c r="L125" t="s">
        <v>24</v>
      </c>
      <c r="M125" t="s">
        <v>24</v>
      </c>
      <c r="N125" t="s">
        <v>24</v>
      </c>
      <c r="O125" t="s">
        <v>69</v>
      </c>
      <c r="P125">
        <v>4</v>
      </c>
      <c r="Q125" t="s">
        <v>70</v>
      </c>
      <c r="R125" s="1">
        <v>72.290000000000006</v>
      </c>
      <c r="S125" s="1">
        <v>63.286717204197402</v>
      </c>
      <c r="T125" s="1">
        <v>88.461539692747706</v>
      </c>
      <c r="U125" s="1" t="s">
        <v>24</v>
      </c>
      <c r="V125" s="1" t="s">
        <v>24</v>
      </c>
      <c r="W125" s="4" t="s">
        <v>24</v>
      </c>
      <c r="X125" s="1" t="s">
        <v>24</v>
      </c>
      <c r="Y125" s="1" t="s">
        <v>24</v>
      </c>
      <c r="Z125" s="4" t="s">
        <v>24</v>
      </c>
      <c r="AA125" s="1" t="s">
        <v>24</v>
      </c>
      <c r="AB125" s="1" t="s">
        <v>24</v>
      </c>
      <c r="AC125" s="4" t="s">
        <v>24</v>
      </c>
      <c r="AD125" t="s">
        <v>25</v>
      </c>
    </row>
    <row r="126" spans="1:30" hidden="1" x14ac:dyDescent="0.35">
      <c r="A126" t="s">
        <v>66</v>
      </c>
      <c r="B126" t="s">
        <v>32</v>
      </c>
      <c r="C126" t="s">
        <v>42</v>
      </c>
      <c r="D126">
        <v>0.26</v>
      </c>
      <c r="E126">
        <v>5</v>
      </c>
      <c r="F126" t="s">
        <v>22</v>
      </c>
      <c r="G126" t="s">
        <v>29</v>
      </c>
      <c r="H126" t="s">
        <v>67</v>
      </c>
      <c r="I126">
        <v>1</v>
      </c>
      <c r="J126" t="s">
        <v>24</v>
      </c>
      <c r="K126" s="2" t="s">
        <v>24</v>
      </c>
      <c r="L126" t="s">
        <v>24</v>
      </c>
      <c r="M126" t="s">
        <v>24</v>
      </c>
      <c r="N126" t="s">
        <v>24</v>
      </c>
      <c r="O126" t="s">
        <v>69</v>
      </c>
      <c r="P126">
        <v>8</v>
      </c>
      <c r="Q126" t="s">
        <v>70</v>
      </c>
      <c r="R126" s="1">
        <v>44.29</v>
      </c>
      <c r="S126" s="1">
        <v>38.111894715647097</v>
      </c>
      <c r="T126" s="1">
        <v>47.902114131675198</v>
      </c>
      <c r="U126" s="1" t="s">
        <v>24</v>
      </c>
      <c r="V126" s="1" t="s">
        <v>24</v>
      </c>
      <c r="W126" s="4" t="s">
        <v>24</v>
      </c>
      <c r="X126" s="1" t="s">
        <v>24</v>
      </c>
      <c r="Y126" s="1" t="s">
        <v>24</v>
      </c>
      <c r="Z126" s="4" t="s">
        <v>24</v>
      </c>
      <c r="AA126" s="1" t="s">
        <v>24</v>
      </c>
      <c r="AB126" s="1" t="s">
        <v>24</v>
      </c>
      <c r="AC126" s="4" t="s">
        <v>24</v>
      </c>
      <c r="AD126" t="s">
        <v>25</v>
      </c>
    </row>
    <row r="127" spans="1:30" hidden="1" x14ac:dyDescent="0.35">
      <c r="A127" t="s">
        <v>66</v>
      </c>
      <c r="B127" t="s">
        <v>32</v>
      </c>
      <c r="C127" t="s">
        <v>42</v>
      </c>
      <c r="D127">
        <v>0.26</v>
      </c>
      <c r="E127">
        <v>5</v>
      </c>
      <c r="F127" t="s">
        <v>22</v>
      </c>
      <c r="G127" t="s">
        <v>29</v>
      </c>
      <c r="H127" t="s">
        <v>67</v>
      </c>
      <c r="I127">
        <v>1</v>
      </c>
      <c r="J127" t="s">
        <v>24</v>
      </c>
      <c r="K127" s="2" t="s">
        <v>24</v>
      </c>
      <c r="L127" t="s">
        <v>24</v>
      </c>
      <c r="M127" t="s">
        <v>24</v>
      </c>
      <c r="N127" t="s">
        <v>24</v>
      </c>
      <c r="O127" t="s">
        <v>69</v>
      </c>
      <c r="P127">
        <v>24</v>
      </c>
      <c r="Q127" t="s">
        <v>70</v>
      </c>
      <c r="R127" s="1">
        <v>7.25</v>
      </c>
      <c r="S127" s="1">
        <v>25.174822488550301</v>
      </c>
      <c r="T127" s="1">
        <v>35.664347864500598</v>
      </c>
      <c r="U127" s="1" t="s">
        <v>24</v>
      </c>
      <c r="V127" s="1" t="s">
        <v>24</v>
      </c>
      <c r="W127" s="4" t="s">
        <v>24</v>
      </c>
      <c r="X127" s="1" t="s">
        <v>24</v>
      </c>
      <c r="Y127" s="1" t="s">
        <v>24</v>
      </c>
      <c r="Z127" s="4" t="s">
        <v>24</v>
      </c>
      <c r="AA127" s="1" t="s">
        <v>24</v>
      </c>
      <c r="AB127" s="1" t="s">
        <v>24</v>
      </c>
      <c r="AC127" s="4" t="s">
        <v>24</v>
      </c>
      <c r="AD127" t="s">
        <v>25</v>
      </c>
    </row>
    <row r="128" spans="1:30" hidden="1" x14ac:dyDescent="0.35">
      <c r="A128" t="s">
        <v>66</v>
      </c>
      <c r="B128" t="s">
        <v>32</v>
      </c>
      <c r="C128" t="s">
        <v>28</v>
      </c>
      <c r="D128">
        <v>0.26</v>
      </c>
      <c r="E128">
        <v>5</v>
      </c>
      <c r="F128" t="s">
        <v>22</v>
      </c>
      <c r="G128" t="s">
        <v>29</v>
      </c>
      <c r="H128" t="s">
        <v>67</v>
      </c>
      <c r="I128">
        <v>1</v>
      </c>
      <c r="J128" t="s">
        <v>24</v>
      </c>
      <c r="K128" s="2" t="s">
        <v>24</v>
      </c>
      <c r="L128" t="s">
        <v>24</v>
      </c>
      <c r="M128" t="s">
        <v>24</v>
      </c>
      <c r="N128" t="s">
        <v>24</v>
      </c>
      <c r="O128" t="s">
        <v>69</v>
      </c>
      <c r="P128">
        <v>0.5</v>
      </c>
      <c r="Q128" t="s">
        <v>70</v>
      </c>
      <c r="R128" s="1">
        <v>17.62</v>
      </c>
      <c r="S128" s="1">
        <v>12.937072227096801</v>
      </c>
      <c r="T128" s="1">
        <v>23.076920614504399</v>
      </c>
      <c r="U128" s="1" t="s">
        <v>24</v>
      </c>
      <c r="V128" s="1" t="s">
        <v>24</v>
      </c>
      <c r="W128" s="4" t="s">
        <v>24</v>
      </c>
      <c r="X128" s="1" t="s">
        <v>24</v>
      </c>
      <c r="Y128" s="1" t="s">
        <v>24</v>
      </c>
      <c r="Z128" s="4" t="s">
        <v>24</v>
      </c>
      <c r="AA128" s="1" t="s">
        <v>24</v>
      </c>
      <c r="AB128" s="1" t="s">
        <v>24</v>
      </c>
      <c r="AC128" s="4" t="s">
        <v>24</v>
      </c>
      <c r="AD128" t="s">
        <v>25</v>
      </c>
    </row>
    <row r="129" spans="1:30" hidden="1" x14ac:dyDescent="0.35">
      <c r="A129" t="s">
        <v>66</v>
      </c>
      <c r="B129" t="s">
        <v>32</v>
      </c>
      <c r="C129" t="s">
        <v>28</v>
      </c>
      <c r="D129">
        <v>0.26</v>
      </c>
      <c r="E129">
        <v>5</v>
      </c>
      <c r="F129" t="s">
        <v>22</v>
      </c>
      <c r="G129" t="s">
        <v>29</v>
      </c>
      <c r="H129" t="s">
        <v>67</v>
      </c>
      <c r="I129">
        <v>1</v>
      </c>
      <c r="J129" t="s">
        <v>24</v>
      </c>
      <c r="K129" s="2" t="s">
        <v>24</v>
      </c>
      <c r="L129" t="s">
        <v>24</v>
      </c>
      <c r="M129" t="s">
        <v>24</v>
      </c>
      <c r="N129" t="s">
        <v>24</v>
      </c>
      <c r="O129" t="s">
        <v>69</v>
      </c>
      <c r="P129">
        <v>0.7</v>
      </c>
      <c r="Q129" t="s">
        <v>70</v>
      </c>
      <c r="R129" s="1">
        <v>8.8800000000000008</v>
      </c>
      <c r="S129" s="1">
        <v>3.8461747767121799</v>
      </c>
      <c r="T129" s="1">
        <v>12.937072227096801</v>
      </c>
      <c r="U129" s="1" t="s">
        <v>24</v>
      </c>
      <c r="V129" s="1" t="s">
        <v>24</v>
      </c>
      <c r="W129" s="4" t="s">
        <v>24</v>
      </c>
      <c r="X129" s="1" t="s">
        <v>24</v>
      </c>
      <c r="Y129" s="1" t="s">
        <v>24</v>
      </c>
      <c r="Z129" s="4" t="s">
        <v>24</v>
      </c>
      <c r="AA129" s="1" t="s">
        <v>24</v>
      </c>
      <c r="AB129" s="1" t="s">
        <v>24</v>
      </c>
      <c r="AC129" s="4" t="s">
        <v>24</v>
      </c>
      <c r="AD129" t="s">
        <v>25</v>
      </c>
    </row>
    <row r="130" spans="1:30" hidden="1" x14ac:dyDescent="0.35">
      <c r="A130" t="s">
        <v>66</v>
      </c>
      <c r="B130" t="s">
        <v>32</v>
      </c>
      <c r="C130" t="s">
        <v>28</v>
      </c>
      <c r="D130">
        <v>0.26</v>
      </c>
      <c r="E130">
        <v>5</v>
      </c>
      <c r="F130" t="s">
        <v>22</v>
      </c>
      <c r="G130" t="s">
        <v>29</v>
      </c>
      <c r="H130" t="s">
        <v>67</v>
      </c>
      <c r="I130">
        <v>1</v>
      </c>
      <c r="J130" t="s">
        <v>24</v>
      </c>
      <c r="K130" s="2" t="s">
        <v>24</v>
      </c>
      <c r="L130" t="s">
        <v>24</v>
      </c>
      <c r="M130" t="s">
        <v>24</v>
      </c>
      <c r="N130" t="s">
        <v>24</v>
      </c>
      <c r="O130" t="s">
        <v>69</v>
      </c>
      <c r="P130">
        <v>1</v>
      </c>
      <c r="Q130" t="s">
        <v>70</v>
      </c>
      <c r="R130" s="1">
        <v>15.49</v>
      </c>
      <c r="S130" s="1">
        <v>9.4405584332063608</v>
      </c>
      <c r="T130" s="1">
        <v>19.930067803435598</v>
      </c>
      <c r="U130" s="1" t="s">
        <v>24</v>
      </c>
      <c r="V130" s="1" t="s">
        <v>24</v>
      </c>
      <c r="W130" s="4" t="s">
        <v>24</v>
      </c>
      <c r="X130" s="1" t="s">
        <v>24</v>
      </c>
      <c r="Y130" s="1" t="s">
        <v>24</v>
      </c>
      <c r="Z130" s="4" t="s">
        <v>24</v>
      </c>
      <c r="AA130" s="1" t="s">
        <v>24</v>
      </c>
      <c r="AB130" s="1" t="s">
        <v>24</v>
      </c>
      <c r="AC130" s="4" t="s">
        <v>24</v>
      </c>
      <c r="AD130" t="s">
        <v>25</v>
      </c>
    </row>
    <row r="131" spans="1:30" hidden="1" x14ac:dyDescent="0.35">
      <c r="A131" t="s">
        <v>66</v>
      </c>
      <c r="B131" t="s">
        <v>32</v>
      </c>
      <c r="C131" t="s">
        <v>28</v>
      </c>
      <c r="D131">
        <v>0.26</v>
      </c>
      <c r="E131">
        <v>5</v>
      </c>
      <c r="F131" t="s">
        <v>22</v>
      </c>
      <c r="G131" t="s">
        <v>29</v>
      </c>
      <c r="H131" t="s">
        <v>67</v>
      </c>
      <c r="I131">
        <v>1</v>
      </c>
      <c r="J131" t="s">
        <v>24</v>
      </c>
      <c r="K131" s="2" t="s">
        <v>24</v>
      </c>
      <c r="L131" t="s">
        <v>24</v>
      </c>
      <c r="M131" t="s">
        <v>24</v>
      </c>
      <c r="N131" t="s">
        <v>24</v>
      </c>
      <c r="O131" t="s">
        <v>69</v>
      </c>
      <c r="P131">
        <v>4</v>
      </c>
      <c r="Q131" t="s">
        <v>70</v>
      </c>
      <c r="R131" s="1">
        <v>68.61</v>
      </c>
      <c r="S131" s="1">
        <v>55.944060645036899</v>
      </c>
      <c r="T131" s="1">
        <v>74.825177511449695</v>
      </c>
      <c r="U131" s="1" t="s">
        <v>24</v>
      </c>
      <c r="V131" s="1" t="s">
        <v>24</v>
      </c>
      <c r="W131" s="4" t="s">
        <v>24</v>
      </c>
      <c r="X131" s="1" t="s">
        <v>24</v>
      </c>
      <c r="Y131" s="1" t="s">
        <v>24</v>
      </c>
      <c r="Z131" s="4" t="s">
        <v>24</v>
      </c>
      <c r="AA131" s="1" t="s">
        <v>24</v>
      </c>
      <c r="AB131" s="1" t="s">
        <v>24</v>
      </c>
      <c r="AC131" s="4" t="s">
        <v>24</v>
      </c>
      <c r="AD131" t="s">
        <v>25</v>
      </c>
    </row>
    <row r="132" spans="1:30" hidden="1" x14ac:dyDescent="0.35">
      <c r="A132" t="s">
        <v>66</v>
      </c>
      <c r="B132" t="s">
        <v>32</v>
      </c>
      <c r="C132" t="s">
        <v>28</v>
      </c>
      <c r="D132">
        <v>0.26</v>
      </c>
      <c r="E132">
        <v>5</v>
      </c>
      <c r="F132" t="s">
        <v>22</v>
      </c>
      <c r="G132" t="s">
        <v>29</v>
      </c>
      <c r="H132" t="s">
        <v>67</v>
      </c>
      <c r="I132">
        <v>1</v>
      </c>
      <c r="J132" t="s">
        <v>24</v>
      </c>
      <c r="K132" s="2" t="s">
        <v>24</v>
      </c>
      <c r="L132" t="s">
        <v>24</v>
      </c>
      <c r="M132" t="s">
        <v>24</v>
      </c>
      <c r="N132" t="s">
        <v>24</v>
      </c>
      <c r="O132" t="s">
        <v>69</v>
      </c>
      <c r="P132">
        <v>8</v>
      </c>
      <c r="Q132" t="s">
        <v>70</v>
      </c>
      <c r="R132" s="1">
        <v>26.95</v>
      </c>
      <c r="S132" s="1">
        <v>17.132875975188501</v>
      </c>
      <c r="T132" s="1">
        <v>37.762249738546501</v>
      </c>
      <c r="U132" s="1" t="s">
        <v>24</v>
      </c>
      <c r="V132" s="1" t="s">
        <v>24</v>
      </c>
      <c r="W132" s="4" t="s">
        <v>24</v>
      </c>
      <c r="X132" s="1" t="s">
        <v>24</v>
      </c>
      <c r="Y132" s="1" t="s">
        <v>24</v>
      </c>
      <c r="Z132" s="4" t="s">
        <v>24</v>
      </c>
      <c r="AA132" s="1" t="s">
        <v>24</v>
      </c>
      <c r="AB132" s="1" t="s">
        <v>24</v>
      </c>
      <c r="AC132" s="4" t="s">
        <v>24</v>
      </c>
      <c r="AD132" t="s">
        <v>25</v>
      </c>
    </row>
    <row r="133" spans="1:30" hidden="1" x14ac:dyDescent="0.35">
      <c r="A133" t="s">
        <v>66</v>
      </c>
      <c r="B133" t="s">
        <v>32</v>
      </c>
      <c r="C133" t="s">
        <v>28</v>
      </c>
      <c r="D133">
        <v>0.26</v>
      </c>
      <c r="E133">
        <v>5</v>
      </c>
      <c r="F133" t="s">
        <v>22</v>
      </c>
      <c r="G133" t="s">
        <v>29</v>
      </c>
      <c r="H133" t="s">
        <v>67</v>
      </c>
      <c r="I133">
        <v>1</v>
      </c>
      <c r="J133" t="s">
        <v>24</v>
      </c>
      <c r="K133" s="2" t="s">
        <v>24</v>
      </c>
      <c r="L133" t="s">
        <v>24</v>
      </c>
      <c r="M133" t="s">
        <v>24</v>
      </c>
      <c r="N133" t="s">
        <v>24</v>
      </c>
      <c r="O133" t="s">
        <v>69</v>
      </c>
      <c r="P133">
        <v>24</v>
      </c>
      <c r="Q133" t="s">
        <v>70</v>
      </c>
      <c r="R133" s="1">
        <v>19.75</v>
      </c>
      <c r="S133" s="1">
        <v>14.685313118321</v>
      </c>
      <c r="T133" s="1">
        <v>25.874144454193701</v>
      </c>
      <c r="U133" s="1" t="s">
        <v>24</v>
      </c>
      <c r="V133" s="1" t="s">
        <v>24</v>
      </c>
      <c r="W133" s="4" t="s">
        <v>24</v>
      </c>
      <c r="X133" s="1" t="s">
        <v>24</v>
      </c>
      <c r="Y133" s="1" t="s">
        <v>24</v>
      </c>
      <c r="Z133" s="4" t="s">
        <v>24</v>
      </c>
      <c r="AA133" s="1" t="s">
        <v>24</v>
      </c>
      <c r="AB133" s="1" t="s">
        <v>24</v>
      </c>
      <c r="AC133" s="4" t="s">
        <v>24</v>
      </c>
      <c r="AD133" t="s">
        <v>25</v>
      </c>
    </row>
    <row r="134" spans="1:30" hidden="1" x14ac:dyDescent="0.35">
      <c r="A134" t="s">
        <v>66</v>
      </c>
      <c r="B134" t="s">
        <v>32</v>
      </c>
      <c r="C134" t="s">
        <v>42</v>
      </c>
      <c r="D134">
        <v>0.26</v>
      </c>
      <c r="E134">
        <v>5</v>
      </c>
      <c r="F134" t="s">
        <v>22</v>
      </c>
      <c r="G134" t="s">
        <v>29</v>
      </c>
      <c r="H134" t="s">
        <v>67</v>
      </c>
      <c r="I134">
        <v>1</v>
      </c>
      <c r="J134" t="s">
        <v>24</v>
      </c>
      <c r="K134" s="2" t="s">
        <v>24</v>
      </c>
      <c r="L134" t="s">
        <v>24</v>
      </c>
      <c r="M134" t="s">
        <v>24</v>
      </c>
      <c r="N134" t="s">
        <v>24</v>
      </c>
      <c r="O134" t="s">
        <v>22</v>
      </c>
      <c r="P134">
        <v>0.5</v>
      </c>
      <c r="Q134" t="s">
        <v>26</v>
      </c>
      <c r="R134" s="1">
        <v>26.99</v>
      </c>
      <c r="S134" s="1">
        <v>21.17</v>
      </c>
      <c r="T134" s="1">
        <v>34.4</v>
      </c>
      <c r="U134" s="1" t="s">
        <v>24</v>
      </c>
      <c r="V134" s="1" t="s">
        <v>24</v>
      </c>
      <c r="W134" s="4" t="s">
        <v>24</v>
      </c>
      <c r="X134" s="1" t="s">
        <v>24</v>
      </c>
      <c r="Y134" s="1" t="s">
        <v>24</v>
      </c>
      <c r="Z134" s="4" t="s">
        <v>24</v>
      </c>
      <c r="AA134" s="1" t="s">
        <v>24</v>
      </c>
      <c r="AB134" s="1" t="s">
        <v>24</v>
      </c>
      <c r="AC134" s="4" t="s">
        <v>24</v>
      </c>
      <c r="AD134" t="s">
        <v>25</v>
      </c>
    </row>
    <row r="135" spans="1:30" hidden="1" x14ac:dyDescent="0.35">
      <c r="A135" t="s">
        <v>66</v>
      </c>
      <c r="B135" t="s">
        <v>32</v>
      </c>
      <c r="C135" t="s">
        <v>42</v>
      </c>
      <c r="D135">
        <v>0.26</v>
      </c>
      <c r="E135">
        <v>5</v>
      </c>
      <c r="F135" t="s">
        <v>22</v>
      </c>
      <c r="G135" t="s">
        <v>29</v>
      </c>
      <c r="H135" t="s">
        <v>67</v>
      </c>
      <c r="I135">
        <v>1</v>
      </c>
      <c r="J135" t="s">
        <v>24</v>
      </c>
      <c r="K135" s="2" t="s">
        <v>24</v>
      </c>
      <c r="L135" t="s">
        <v>24</v>
      </c>
      <c r="M135" t="s">
        <v>24</v>
      </c>
      <c r="N135" t="s">
        <v>24</v>
      </c>
      <c r="O135" t="s">
        <v>22</v>
      </c>
      <c r="P135">
        <v>0.7</v>
      </c>
      <c r="Q135" t="s">
        <v>26</v>
      </c>
      <c r="R135" s="1">
        <v>21.04</v>
      </c>
      <c r="S135" s="1">
        <v>16.54</v>
      </c>
      <c r="T135" s="1">
        <v>27.92</v>
      </c>
      <c r="U135" s="1" t="s">
        <v>24</v>
      </c>
      <c r="V135" s="1" t="s">
        <v>24</v>
      </c>
      <c r="W135" s="4" t="s">
        <v>24</v>
      </c>
      <c r="X135" s="1" t="s">
        <v>24</v>
      </c>
      <c r="Y135" s="1" t="s">
        <v>24</v>
      </c>
      <c r="Z135" s="4" t="s">
        <v>24</v>
      </c>
      <c r="AA135" s="1" t="s">
        <v>24</v>
      </c>
      <c r="AB135" s="1" t="s">
        <v>24</v>
      </c>
      <c r="AC135" s="4" t="s">
        <v>24</v>
      </c>
      <c r="AD135" t="s">
        <v>25</v>
      </c>
    </row>
    <row r="136" spans="1:30" hidden="1" x14ac:dyDescent="0.35">
      <c r="A136" t="s">
        <v>66</v>
      </c>
      <c r="B136" t="s">
        <v>32</v>
      </c>
      <c r="C136" t="s">
        <v>42</v>
      </c>
      <c r="D136">
        <v>0.26</v>
      </c>
      <c r="E136">
        <v>5</v>
      </c>
      <c r="F136" t="s">
        <v>22</v>
      </c>
      <c r="G136" t="s">
        <v>29</v>
      </c>
      <c r="H136" t="s">
        <v>67</v>
      </c>
      <c r="I136">
        <v>1</v>
      </c>
      <c r="J136" t="s">
        <v>24</v>
      </c>
      <c r="K136" s="2" t="s">
        <v>24</v>
      </c>
      <c r="L136" t="s">
        <v>24</v>
      </c>
      <c r="M136" t="s">
        <v>24</v>
      </c>
      <c r="N136" t="s">
        <v>24</v>
      </c>
      <c r="O136" t="s">
        <v>22</v>
      </c>
      <c r="P136">
        <v>1</v>
      </c>
      <c r="Q136" t="s">
        <v>26</v>
      </c>
      <c r="R136" s="1">
        <v>14.69</v>
      </c>
      <c r="S136" s="1">
        <v>13.23</v>
      </c>
      <c r="T136" s="1">
        <v>16.399999999999999</v>
      </c>
      <c r="U136" s="1" t="s">
        <v>24</v>
      </c>
      <c r="V136" s="1" t="s">
        <v>24</v>
      </c>
      <c r="W136" s="4" t="s">
        <v>24</v>
      </c>
      <c r="X136" s="1" t="s">
        <v>24</v>
      </c>
      <c r="Y136" s="1" t="s">
        <v>24</v>
      </c>
      <c r="Z136" s="4" t="s">
        <v>24</v>
      </c>
      <c r="AA136" s="1" t="s">
        <v>24</v>
      </c>
      <c r="AB136" s="1" t="s">
        <v>24</v>
      </c>
      <c r="AC136" s="4" t="s">
        <v>24</v>
      </c>
      <c r="AD136" t="s">
        <v>25</v>
      </c>
    </row>
    <row r="137" spans="1:30" hidden="1" x14ac:dyDescent="0.35">
      <c r="A137" t="s">
        <v>66</v>
      </c>
      <c r="B137" t="s">
        <v>32</v>
      </c>
      <c r="C137" t="s">
        <v>42</v>
      </c>
      <c r="D137">
        <v>0.26</v>
      </c>
      <c r="E137">
        <v>5</v>
      </c>
      <c r="F137" t="s">
        <v>22</v>
      </c>
      <c r="G137" t="s">
        <v>29</v>
      </c>
      <c r="H137" t="s">
        <v>67</v>
      </c>
      <c r="I137">
        <v>1</v>
      </c>
      <c r="J137" t="s">
        <v>24</v>
      </c>
      <c r="K137" s="2" t="s">
        <v>24</v>
      </c>
      <c r="L137" t="s">
        <v>24</v>
      </c>
      <c r="M137" t="s">
        <v>24</v>
      </c>
      <c r="N137" t="s">
        <v>24</v>
      </c>
      <c r="O137" t="s">
        <v>22</v>
      </c>
      <c r="P137">
        <v>4</v>
      </c>
      <c r="Q137" t="s">
        <v>26</v>
      </c>
      <c r="R137" s="1">
        <v>34.67</v>
      </c>
      <c r="S137" s="1">
        <v>32.29</v>
      </c>
      <c r="T137" s="1">
        <v>37.31</v>
      </c>
      <c r="U137" s="1" t="s">
        <v>24</v>
      </c>
      <c r="V137" s="1" t="s">
        <v>24</v>
      </c>
      <c r="W137" s="4" t="s">
        <v>24</v>
      </c>
      <c r="X137" s="1" t="s">
        <v>24</v>
      </c>
      <c r="Y137" s="1" t="s">
        <v>24</v>
      </c>
      <c r="Z137" s="4" t="s">
        <v>24</v>
      </c>
      <c r="AA137" s="1" t="s">
        <v>24</v>
      </c>
      <c r="AB137" s="1" t="s">
        <v>24</v>
      </c>
      <c r="AC137" s="4" t="s">
        <v>24</v>
      </c>
      <c r="AD137" t="s">
        <v>25</v>
      </c>
    </row>
    <row r="138" spans="1:30" hidden="1" x14ac:dyDescent="0.35">
      <c r="A138" t="s">
        <v>66</v>
      </c>
      <c r="B138" t="s">
        <v>32</v>
      </c>
      <c r="C138" t="s">
        <v>42</v>
      </c>
      <c r="D138">
        <v>0.26</v>
      </c>
      <c r="E138">
        <v>5</v>
      </c>
      <c r="F138" t="s">
        <v>22</v>
      </c>
      <c r="G138" t="s">
        <v>29</v>
      </c>
      <c r="H138" t="s">
        <v>67</v>
      </c>
      <c r="I138">
        <v>1</v>
      </c>
      <c r="J138" t="s">
        <v>24</v>
      </c>
      <c r="K138" s="2" t="s">
        <v>24</v>
      </c>
      <c r="L138" t="s">
        <v>24</v>
      </c>
      <c r="M138" t="s">
        <v>24</v>
      </c>
      <c r="N138" t="s">
        <v>24</v>
      </c>
      <c r="O138" t="s">
        <v>22</v>
      </c>
      <c r="P138">
        <v>8</v>
      </c>
      <c r="Q138" t="s">
        <v>26</v>
      </c>
      <c r="R138" s="1">
        <v>16.41</v>
      </c>
      <c r="S138" s="1">
        <v>14.42</v>
      </c>
      <c r="T138" s="1">
        <v>18</v>
      </c>
      <c r="U138" s="1" t="s">
        <v>24</v>
      </c>
      <c r="V138" s="1" t="s">
        <v>24</v>
      </c>
      <c r="W138" s="4" t="s">
        <v>24</v>
      </c>
      <c r="X138" s="1" t="s">
        <v>24</v>
      </c>
      <c r="Y138" s="1" t="s">
        <v>24</v>
      </c>
      <c r="Z138" s="4" t="s">
        <v>24</v>
      </c>
      <c r="AA138" s="1" t="s">
        <v>24</v>
      </c>
      <c r="AB138" s="1" t="s">
        <v>24</v>
      </c>
      <c r="AC138" s="4" t="s">
        <v>24</v>
      </c>
      <c r="AD138" t="s">
        <v>25</v>
      </c>
    </row>
    <row r="139" spans="1:30" hidden="1" x14ac:dyDescent="0.35">
      <c r="A139" t="s">
        <v>66</v>
      </c>
      <c r="B139" t="s">
        <v>32</v>
      </c>
      <c r="C139" t="s">
        <v>42</v>
      </c>
      <c r="D139">
        <v>0.26</v>
      </c>
      <c r="E139">
        <v>5</v>
      </c>
      <c r="F139" t="s">
        <v>22</v>
      </c>
      <c r="G139" t="s">
        <v>29</v>
      </c>
      <c r="H139" t="s">
        <v>67</v>
      </c>
      <c r="I139">
        <v>1</v>
      </c>
      <c r="J139" t="s">
        <v>24</v>
      </c>
      <c r="K139" s="2" t="s">
        <v>24</v>
      </c>
      <c r="L139" t="s">
        <v>24</v>
      </c>
      <c r="M139" t="s">
        <v>24</v>
      </c>
      <c r="N139" t="s">
        <v>24</v>
      </c>
      <c r="O139" t="s">
        <v>22</v>
      </c>
      <c r="P139">
        <v>24</v>
      </c>
      <c r="Q139" t="s">
        <v>26</v>
      </c>
      <c r="R139" s="1">
        <v>4.9000000000000004</v>
      </c>
      <c r="S139" s="1">
        <v>4.9000000000000004</v>
      </c>
      <c r="T139" s="1">
        <v>4.9000000000000004</v>
      </c>
      <c r="U139" s="1" t="s">
        <v>24</v>
      </c>
      <c r="V139" s="1" t="s">
        <v>24</v>
      </c>
      <c r="W139" s="4" t="s">
        <v>24</v>
      </c>
      <c r="X139" s="1" t="s">
        <v>24</v>
      </c>
      <c r="Y139" s="1" t="s">
        <v>24</v>
      </c>
      <c r="Z139" s="4" t="s">
        <v>24</v>
      </c>
      <c r="AA139" s="1" t="s">
        <v>24</v>
      </c>
      <c r="AB139" s="1" t="s">
        <v>24</v>
      </c>
      <c r="AC139" s="4" t="s">
        <v>24</v>
      </c>
      <c r="AD139" t="s">
        <v>25</v>
      </c>
    </row>
    <row r="140" spans="1:30" hidden="1" x14ac:dyDescent="0.35">
      <c r="A140" t="s">
        <v>66</v>
      </c>
      <c r="B140" t="s">
        <v>32</v>
      </c>
      <c r="C140" t="s">
        <v>28</v>
      </c>
      <c r="D140">
        <v>0.26</v>
      </c>
      <c r="E140">
        <v>5</v>
      </c>
      <c r="F140" t="s">
        <v>22</v>
      </c>
      <c r="G140" t="s">
        <v>29</v>
      </c>
      <c r="H140" t="s">
        <v>67</v>
      </c>
      <c r="I140">
        <v>1</v>
      </c>
      <c r="J140" t="s">
        <v>24</v>
      </c>
      <c r="K140" s="2" t="s">
        <v>24</v>
      </c>
      <c r="L140" t="s">
        <v>24</v>
      </c>
      <c r="M140" t="s">
        <v>24</v>
      </c>
      <c r="N140" t="s">
        <v>24</v>
      </c>
      <c r="O140" t="s">
        <v>22</v>
      </c>
      <c r="P140">
        <v>0.5</v>
      </c>
      <c r="Q140" t="s">
        <v>26</v>
      </c>
      <c r="R140" s="1">
        <v>31.71</v>
      </c>
      <c r="S140" s="1">
        <v>28.98</v>
      </c>
      <c r="T140" s="1">
        <v>34.4</v>
      </c>
      <c r="U140" s="1" t="s">
        <v>24</v>
      </c>
      <c r="V140" s="1" t="s">
        <v>24</v>
      </c>
      <c r="W140" s="4" t="s">
        <v>24</v>
      </c>
      <c r="X140" s="1" t="s">
        <v>24</v>
      </c>
      <c r="Y140" s="1" t="s">
        <v>24</v>
      </c>
      <c r="Z140" s="4" t="s">
        <v>24</v>
      </c>
      <c r="AA140" s="1" t="s">
        <v>24</v>
      </c>
      <c r="AB140" s="1" t="s">
        <v>24</v>
      </c>
      <c r="AC140" s="4" t="s">
        <v>24</v>
      </c>
      <c r="AD140" t="s">
        <v>25</v>
      </c>
    </row>
    <row r="141" spans="1:30" hidden="1" x14ac:dyDescent="0.35">
      <c r="A141" t="s">
        <v>66</v>
      </c>
      <c r="B141" t="s">
        <v>32</v>
      </c>
      <c r="C141" t="s">
        <v>28</v>
      </c>
      <c r="D141">
        <v>0.26</v>
      </c>
      <c r="E141">
        <v>5</v>
      </c>
      <c r="F141" t="s">
        <v>22</v>
      </c>
      <c r="G141" t="s">
        <v>29</v>
      </c>
      <c r="H141" t="s">
        <v>67</v>
      </c>
      <c r="I141">
        <v>1</v>
      </c>
      <c r="J141" t="s">
        <v>24</v>
      </c>
      <c r="K141" s="2" t="s">
        <v>24</v>
      </c>
      <c r="L141" t="s">
        <v>24</v>
      </c>
      <c r="M141" t="s">
        <v>24</v>
      </c>
      <c r="N141" t="s">
        <v>24</v>
      </c>
      <c r="O141" t="s">
        <v>22</v>
      </c>
      <c r="P141">
        <v>0.7</v>
      </c>
      <c r="Q141" t="s">
        <v>26</v>
      </c>
      <c r="R141" s="1">
        <v>18.260000000000002</v>
      </c>
      <c r="S141" s="1">
        <v>16.670000000000002</v>
      </c>
      <c r="T141" s="1">
        <v>19.45</v>
      </c>
      <c r="U141" s="1" t="s">
        <v>24</v>
      </c>
      <c r="V141" s="1" t="s">
        <v>24</v>
      </c>
      <c r="W141" s="4" t="s">
        <v>24</v>
      </c>
      <c r="X141" s="1" t="s">
        <v>24</v>
      </c>
      <c r="Y141" s="1" t="s">
        <v>24</v>
      </c>
      <c r="Z141" s="4" t="s">
        <v>24</v>
      </c>
      <c r="AA141" s="1" t="s">
        <v>24</v>
      </c>
      <c r="AB141" s="1" t="s">
        <v>24</v>
      </c>
      <c r="AC141" s="4" t="s">
        <v>24</v>
      </c>
      <c r="AD141" t="s">
        <v>25</v>
      </c>
    </row>
    <row r="142" spans="1:30" hidden="1" x14ac:dyDescent="0.35">
      <c r="A142" t="s">
        <v>66</v>
      </c>
      <c r="B142" t="s">
        <v>32</v>
      </c>
      <c r="C142" t="s">
        <v>28</v>
      </c>
      <c r="D142">
        <v>0.26</v>
      </c>
      <c r="E142">
        <v>5</v>
      </c>
      <c r="F142" t="s">
        <v>22</v>
      </c>
      <c r="G142" t="s">
        <v>29</v>
      </c>
      <c r="H142" t="s">
        <v>67</v>
      </c>
      <c r="I142">
        <v>1</v>
      </c>
      <c r="J142" t="s">
        <v>24</v>
      </c>
      <c r="K142" s="2" t="s">
        <v>24</v>
      </c>
      <c r="L142" t="s">
        <v>24</v>
      </c>
      <c r="M142" t="s">
        <v>24</v>
      </c>
      <c r="N142" t="s">
        <v>24</v>
      </c>
      <c r="O142" t="s">
        <v>22</v>
      </c>
      <c r="P142">
        <v>1</v>
      </c>
      <c r="Q142" t="s">
        <v>26</v>
      </c>
      <c r="R142" s="1">
        <v>7</v>
      </c>
      <c r="S142" s="1">
        <v>1.98</v>
      </c>
      <c r="T142" s="1">
        <v>11.77</v>
      </c>
      <c r="U142" s="1" t="s">
        <v>24</v>
      </c>
      <c r="V142" s="1" t="s">
        <v>24</v>
      </c>
      <c r="W142" s="4" t="s">
        <v>24</v>
      </c>
      <c r="X142" s="1" t="s">
        <v>24</v>
      </c>
      <c r="Y142" s="1" t="s">
        <v>24</v>
      </c>
      <c r="Z142" s="4" t="s">
        <v>24</v>
      </c>
      <c r="AA142" s="1" t="s">
        <v>24</v>
      </c>
      <c r="AB142" s="1" t="s">
        <v>24</v>
      </c>
      <c r="AC142" s="4" t="s">
        <v>24</v>
      </c>
      <c r="AD142" t="s">
        <v>25</v>
      </c>
    </row>
    <row r="143" spans="1:30" hidden="1" x14ac:dyDescent="0.35">
      <c r="A143" t="s">
        <v>66</v>
      </c>
      <c r="B143" t="s">
        <v>32</v>
      </c>
      <c r="C143" t="s">
        <v>28</v>
      </c>
      <c r="D143">
        <v>0.26</v>
      </c>
      <c r="E143">
        <v>5</v>
      </c>
      <c r="F143" t="s">
        <v>22</v>
      </c>
      <c r="G143" t="s">
        <v>29</v>
      </c>
      <c r="H143" t="s">
        <v>67</v>
      </c>
      <c r="I143">
        <v>1</v>
      </c>
      <c r="J143" t="s">
        <v>24</v>
      </c>
      <c r="K143" s="2" t="s">
        <v>24</v>
      </c>
      <c r="L143" t="s">
        <v>24</v>
      </c>
      <c r="M143" t="s">
        <v>24</v>
      </c>
      <c r="N143" t="s">
        <v>24</v>
      </c>
      <c r="O143" t="s">
        <v>22</v>
      </c>
      <c r="P143">
        <v>4</v>
      </c>
      <c r="Q143" t="s">
        <v>26</v>
      </c>
      <c r="R143" s="1">
        <v>15.97</v>
      </c>
      <c r="S143" s="1">
        <v>12.7</v>
      </c>
      <c r="T143" s="1">
        <v>19.579999999999998</v>
      </c>
      <c r="U143" s="1" t="s">
        <v>24</v>
      </c>
      <c r="V143" s="1" t="s">
        <v>24</v>
      </c>
      <c r="W143" s="4" t="s">
        <v>24</v>
      </c>
      <c r="X143" s="1" t="s">
        <v>24</v>
      </c>
      <c r="Y143" s="1" t="s">
        <v>24</v>
      </c>
      <c r="Z143" s="4" t="s">
        <v>24</v>
      </c>
      <c r="AA143" s="1" t="s">
        <v>24</v>
      </c>
      <c r="AB143" s="1" t="s">
        <v>24</v>
      </c>
      <c r="AC143" s="4" t="s">
        <v>24</v>
      </c>
      <c r="AD143" t="s">
        <v>25</v>
      </c>
    </row>
    <row r="144" spans="1:30" hidden="1" x14ac:dyDescent="0.35">
      <c r="A144" t="s">
        <v>66</v>
      </c>
      <c r="B144" t="s">
        <v>32</v>
      </c>
      <c r="C144" t="s">
        <v>28</v>
      </c>
      <c r="D144">
        <v>0.26</v>
      </c>
      <c r="E144">
        <v>5</v>
      </c>
      <c r="F144" t="s">
        <v>22</v>
      </c>
      <c r="G144" t="s">
        <v>29</v>
      </c>
      <c r="H144" t="s">
        <v>67</v>
      </c>
      <c r="I144">
        <v>1</v>
      </c>
      <c r="J144" t="s">
        <v>24</v>
      </c>
      <c r="K144" s="2" t="s">
        <v>24</v>
      </c>
      <c r="L144" t="s">
        <v>24</v>
      </c>
      <c r="M144" t="s">
        <v>24</v>
      </c>
      <c r="N144" t="s">
        <v>24</v>
      </c>
      <c r="O144" t="s">
        <v>22</v>
      </c>
      <c r="P144">
        <v>8</v>
      </c>
      <c r="Q144" t="s">
        <v>26</v>
      </c>
      <c r="R144" s="1">
        <v>9.65</v>
      </c>
      <c r="S144" s="1">
        <v>5.03</v>
      </c>
      <c r="T144" s="1">
        <v>14.03</v>
      </c>
      <c r="U144" s="1" t="s">
        <v>24</v>
      </c>
      <c r="V144" s="1" t="s">
        <v>24</v>
      </c>
      <c r="W144" s="4" t="s">
        <v>24</v>
      </c>
      <c r="X144" s="1" t="s">
        <v>24</v>
      </c>
      <c r="Y144" s="1" t="s">
        <v>24</v>
      </c>
      <c r="Z144" s="4" t="s">
        <v>24</v>
      </c>
      <c r="AA144" s="1" t="s">
        <v>24</v>
      </c>
      <c r="AB144" s="1" t="s">
        <v>24</v>
      </c>
      <c r="AC144" s="4" t="s">
        <v>24</v>
      </c>
      <c r="AD144" t="s">
        <v>25</v>
      </c>
    </row>
    <row r="145" spans="1:30" hidden="1" x14ac:dyDescent="0.35">
      <c r="A145" t="s">
        <v>66</v>
      </c>
      <c r="B145" t="s">
        <v>32</v>
      </c>
      <c r="C145" t="s">
        <v>28</v>
      </c>
      <c r="D145">
        <v>0.26</v>
      </c>
      <c r="E145">
        <v>5</v>
      </c>
      <c r="F145" t="s">
        <v>22</v>
      </c>
      <c r="G145" t="s">
        <v>29</v>
      </c>
      <c r="H145" t="s">
        <v>67</v>
      </c>
      <c r="I145">
        <v>1</v>
      </c>
      <c r="J145" t="s">
        <v>24</v>
      </c>
      <c r="K145" s="2" t="s">
        <v>24</v>
      </c>
      <c r="L145" t="s">
        <v>24</v>
      </c>
      <c r="M145" t="s">
        <v>24</v>
      </c>
      <c r="N145" t="s">
        <v>24</v>
      </c>
      <c r="O145" t="s">
        <v>22</v>
      </c>
      <c r="P145">
        <v>24</v>
      </c>
      <c r="Q145" t="s">
        <v>26</v>
      </c>
      <c r="R145" s="1">
        <v>1.63</v>
      </c>
      <c r="S145" s="1">
        <v>1.63</v>
      </c>
      <c r="T145" s="1">
        <v>1.63</v>
      </c>
      <c r="U145" s="1" t="s">
        <v>24</v>
      </c>
      <c r="V145" s="1" t="s">
        <v>24</v>
      </c>
      <c r="W145" s="4" t="s">
        <v>24</v>
      </c>
      <c r="X145" s="1" t="s">
        <v>24</v>
      </c>
      <c r="Y145" s="1" t="s">
        <v>24</v>
      </c>
      <c r="Z145" s="4" t="s">
        <v>24</v>
      </c>
      <c r="AA145" s="1" t="s">
        <v>24</v>
      </c>
      <c r="AB145" s="1" t="s">
        <v>24</v>
      </c>
      <c r="AC145" s="4" t="s">
        <v>24</v>
      </c>
      <c r="AD145" t="s">
        <v>25</v>
      </c>
    </row>
    <row r="146" spans="1:30" hidden="1" x14ac:dyDescent="0.35">
      <c r="A146" t="s">
        <v>66</v>
      </c>
      <c r="B146" t="s">
        <v>32</v>
      </c>
      <c r="C146" t="s">
        <v>42</v>
      </c>
      <c r="D146">
        <v>0.26</v>
      </c>
      <c r="E146">
        <v>5</v>
      </c>
      <c r="F146" t="s">
        <v>22</v>
      </c>
      <c r="G146" t="s">
        <v>29</v>
      </c>
      <c r="H146" t="s">
        <v>67</v>
      </c>
      <c r="I146">
        <v>1</v>
      </c>
      <c r="J146" t="s">
        <v>24</v>
      </c>
      <c r="K146" s="2" t="s">
        <v>24</v>
      </c>
      <c r="L146" t="s">
        <v>24</v>
      </c>
      <c r="M146" t="s">
        <v>24</v>
      </c>
      <c r="N146" t="s">
        <v>24</v>
      </c>
      <c r="O146" t="s">
        <v>68</v>
      </c>
      <c r="P146">
        <v>0.5</v>
      </c>
      <c r="Q146" t="s">
        <v>26</v>
      </c>
      <c r="R146" s="1">
        <v>43</v>
      </c>
      <c r="S146" s="1">
        <v>32.133892239172098</v>
      </c>
      <c r="T146" s="1">
        <v>52.552297825268099</v>
      </c>
      <c r="U146" s="1" t="s">
        <v>24</v>
      </c>
      <c r="V146" s="1" t="s">
        <v>24</v>
      </c>
      <c r="W146" s="4" t="s">
        <v>24</v>
      </c>
      <c r="X146" s="1" t="s">
        <v>24</v>
      </c>
      <c r="Y146" s="1" t="s">
        <v>24</v>
      </c>
      <c r="Z146" s="4" t="s">
        <v>24</v>
      </c>
      <c r="AA146" s="1" t="s">
        <v>24</v>
      </c>
      <c r="AB146" s="1" t="s">
        <v>24</v>
      </c>
      <c r="AC146" s="4" t="s">
        <v>24</v>
      </c>
      <c r="AD146" t="s">
        <v>25</v>
      </c>
    </row>
    <row r="147" spans="1:30" hidden="1" x14ac:dyDescent="0.35">
      <c r="A147" t="s">
        <v>66</v>
      </c>
      <c r="B147" t="s">
        <v>32</v>
      </c>
      <c r="C147" t="s">
        <v>42</v>
      </c>
      <c r="D147">
        <v>0.26</v>
      </c>
      <c r="E147">
        <v>5</v>
      </c>
      <c r="F147" t="s">
        <v>22</v>
      </c>
      <c r="G147" t="s">
        <v>29</v>
      </c>
      <c r="H147" t="s">
        <v>67</v>
      </c>
      <c r="I147">
        <v>1</v>
      </c>
      <c r="J147" t="s">
        <v>24</v>
      </c>
      <c r="K147" s="2" t="s">
        <v>24</v>
      </c>
      <c r="L147" t="s">
        <v>24</v>
      </c>
      <c r="M147" t="s">
        <v>24</v>
      </c>
      <c r="N147" t="s">
        <v>24</v>
      </c>
      <c r="O147" t="s">
        <v>68</v>
      </c>
      <c r="P147">
        <v>0.7</v>
      </c>
      <c r="Q147" t="s">
        <v>26</v>
      </c>
      <c r="R147" s="1">
        <v>17.07</v>
      </c>
      <c r="S147" s="1">
        <v>17.07</v>
      </c>
      <c r="T147" s="1">
        <v>17.07</v>
      </c>
      <c r="U147" s="1" t="s">
        <v>24</v>
      </c>
      <c r="V147" s="1" t="s">
        <v>24</v>
      </c>
      <c r="W147" s="4" t="s">
        <v>24</v>
      </c>
      <c r="X147" s="1" t="s">
        <v>24</v>
      </c>
      <c r="Y147" s="1" t="s">
        <v>24</v>
      </c>
      <c r="Z147" s="4" t="s">
        <v>24</v>
      </c>
      <c r="AA147" s="1" t="s">
        <v>24</v>
      </c>
      <c r="AB147" s="1" t="s">
        <v>24</v>
      </c>
      <c r="AC147" s="4" t="s">
        <v>24</v>
      </c>
      <c r="AD147" t="s">
        <v>25</v>
      </c>
    </row>
    <row r="148" spans="1:30" hidden="1" x14ac:dyDescent="0.35">
      <c r="A148" t="s">
        <v>66</v>
      </c>
      <c r="B148" t="s">
        <v>32</v>
      </c>
      <c r="C148" t="s">
        <v>42</v>
      </c>
      <c r="D148">
        <v>0.26</v>
      </c>
      <c r="E148">
        <v>5</v>
      </c>
      <c r="F148" t="s">
        <v>22</v>
      </c>
      <c r="G148" t="s">
        <v>29</v>
      </c>
      <c r="H148" t="s">
        <v>67</v>
      </c>
      <c r="I148">
        <v>1</v>
      </c>
      <c r="J148" t="s">
        <v>24</v>
      </c>
      <c r="K148" s="2" t="s">
        <v>24</v>
      </c>
      <c r="L148" t="s">
        <v>24</v>
      </c>
      <c r="M148" t="s">
        <v>24</v>
      </c>
      <c r="N148" t="s">
        <v>24</v>
      </c>
      <c r="O148" t="s">
        <v>68</v>
      </c>
      <c r="P148">
        <v>1</v>
      </c>
      <c r="Q148" t="s">
        <v>26</v>
      </c>
      <c r="R148" s="1">
        <v>88.83</v>
      </c>
      <c r="S148" s="1">
        <v>78.661085269595503</v>
      </c>
      <c r="T148" s="1">
        <v>102.092043253113</v>
      </c>
      <c r="U148" s="1" t="s">
        <v>24</v>
      </c>
      <c r="V148" s="1" t="s">
        <v>24</v>
      </c>
      <c r="W148" s="4" t="s">
        <v>24</v>
      </c>
      <c r="X148" s="1" t="s">
        <v>24</v>
      </c>
      <c r="Y148" s="1" t="s">
        <v>24</v>
      </c>
      <c r="Z148" s="4" t="s">
        <v>24</v>
      </c>
      <c r="AA148" s="1" t="s">
        <v>24</v>
      </c>
      <c r="AB148" s="1" t="s">
        <v>24</v>
      </c>
      <c r="AC148" s="4" t="s">
        <v>24</v>
      </c>
      <c r="AD148" t="s">
        <v>25</v>
      </c>
    </row>
    <row r="149" spans="1:30" hidden="1" x14ac:dyDescent="0.35">
      <c r="A149" t="s">
        <v>66</v>
      </c>
      <c r="B149" t="s">
        <v>32</v>
      </c>
      <c r="C149" t="s">
        <v>42</v>
      </c>
      <c r="D149">
        <v>0.26</v>
      </c>
      <c r="E149">
        <v>5</v>
      </c>
      <c r="F149" t="s">
        <v>22</v>
      </c>
      <c r="G149" t="s">
        <v>29</v>
      </c>
      <c r="H149" t="s">
        <v>67</v>
      </c>
      <c r="I149">
        <v>1</v>
      </c>
      <c r="J149" t="s">
        <v>24</v>
      </c>
      <c r="K149" s="2" t="s">
        <v>24</v>
      </c>
      <c r="L149" t="s">
        <v>24</v>
      </c>
      <c r="M149" t="s">
        <v>24</v>
      </c>
      <c r="N149" t="s">
        <v>24</v>
      </c>
      <c r="O149" t="s">
        <v>68</v>
      </c>
      <c r="P149">
        <v>4</v>
      </c>
      <c r="Q149" t="s">
        <v>26</v>
      </c>
      <c r="R149" s="1">
        <v>91.56</v>
      </c>
      <c r="S149" s="1">
        <v>79.330546465456194</v>
      </c>
      <c r="T149" s="1">
        <v>102.092043253113</v>
      </c>
      <c r="U149" s="1" t="s">
        <v>24</v>
      </c>
      <c r="V149" s="1" t="s">
        <v>24</v>
      </c>
      <c r="W149" s="4" t="s">
        <v>24</v>
      </c>
      <c r="X149" s="1" t="s">
        <v>24</v>
      </c>
      <c r="Y149" s="1" t="s">
        <v>24</v>
      </c>
      <c r="Z149" s="4" t="s">
        <v>24</v>
      </c>
      <c r="AA149" s="1" t="s">
        <v>24</v>
      </c>
      <c r="AB149" s="1" t="s">
        <v>24</v>
      </c>
      <c r="AC149" s="4" t="s">
        <v>24</v>
      </c>
      <c r="AD149" t="s">
        <v>25</v>
      </c>
    </row>
    <row r="150" spans="1:30" hidden="1" x14ac:dyDescent="0.35">
      <c r="A150" t="s">
        <v>66</v>
      </c>
      <c r="B150" t="s">
        <v>32</v>
      </c>
      <c r="C150" t="s">
        <v>42</v>
      </c>
      <c r="D150">
        <v>0.26</v>
      </c>
      <c r="E150">
        <v>5</v>
      </c>
      <c r="F150" t="s">
        <v>22</v>
      </c>
      <c r="G150" t="s">
        <v>29</v>
      </c>
      <c r="H150" t="s">
        <v>67</v>
      </c>
      <c r="I150">
        <v>1</v>
      </c>
      <c r="J150" t="s">
        <v>24</v>
      </c>
      <c r="K150" s="2" t="s">
        <v>24</v>
      </c>
      <c r="L150" t="s">
        <v>24</v>
      </c>
      <c r="M150" t="s">
        <v>24</v>
      </c>
      <c r="N150" t="s">
        <v>24</v>
      </c>
      <c r="O150" t="s">
        <v>68</v>
      </c>
      <c r="P150">
        <v>8</v>
      </c>
      <c r="Q150" t="s">
        <v>26</v>
      </c>
      <c r="R150" s="1">
        <v>32.47</v>
      </c>
      <c r="S150" s="1">
        <v>27.782417450028301</v>
      </c>
      <c r="T150" s="1">
        <v>36.4853363830482</v>
      </c>
      <c r="U150" s="1" t="s">
        <v>24</v>
      </c>
      <c r="V150" s="1" t="s">
        <v>24</v>
      </c>
      <c r="W150" s="4" t="s">
        <v>24</v>
      </c>
      <c r="X150" s="1" t="s">
        <v>24</v>
      </c>
      <c r="Y150" s="1" t="s">
        <v>24</v>
      </c>
      <c r="Z150" s="4" t="s">
        <v>24</v>
      </c>
      <c r="AA150" s="1" t="s">
        <v>24</v>
      </c>
      <c r="AB150" s="1" t="s">
        <v>24</v>
      </c>
      <c r="AC150" s="4" t="s">
        <v>24</v>
      </c>
      <c r="AD150" t="s">
        <v>25</v>
      </c>
    </row>
    <row r="151" spans="1:30" hidden="1" x14ac:dyDescent="0.35">
      <c r="A151" t="s">
        <v>66</v>
      </c>
      <c r="B151" t="s">
        <v>32</v>
      </c>
      <c r="C151" t="s">
        <v>42</v>
      </c>
      <c r="D151">
        <v>0.26</v>
      </c>
      <c r="E151">
        <v>5</v>
      </c>
      <c r="F151" t="s">
        <v>22</v>
      </c>
      <c r="G151" t="s">
        <v>29</v>
      </c>
      <c r="H151" t="s">
        <v>67</v>
      </c>
      <c r="I151">
        <v>1</v>
      </c>
      <c r="J151" t="s">
        <v>24</v>
      </c>
      <c r="K151" s="2" t="s">
        <v>24</v>
      </c>
      <c r="L151" t="s">
        <v>24</v>
      </c>
      <c r="M151" t="s">
        <v>24</v>
      </c>
      <c r="N151" t="s">
        <v>24</v>
      </c>
      <c r="O151" t="s">
        <v>68</v>
      </c>
      <c r="P151">
        <v>24</v>
      </c>
      <c r="Q151" t="s">
        <v>26</v>
      </c>
      <c r="R151" s="1">
        <v>17.649999999999999</v>
      </c>
      <c r="S151" s="1">
        <v>13.389101336143201</v>
      </c>
      <c r="T151" s="1">
        <v>24.100419179379099</v>
      </c>
      <c r="U151" s="1" t="s">
        <v>24</v>
      </c>
      <c r="V151" s="1" t="s">
        <v>24</v>
      </c>
      <c r="W151" s="4" t="s">
        <v>24</v>
      </c>
      <c r="X151" s="1" t="s">
        <v>24</v>
      </c>
      <c r="Y151" s="1" t="s">
        <v>24</v>
      </c>
      <c r="Z151" s="4" t="s">
        <v>24</v>
      </c>
      <c r="AA151" s="1" t="s">
        <v>24</v>
      </c>
      <c r="AB151" s="1" t="s">
        <v>24</v>
      </c>
      <c r="AC151" s="4" t="s">
        <v>24</v>
      </c>
      <c r="AD151" t="s">
        <v>25</v>
      </c>
    </row>
    <row r="152" spans="1:30" hidden="1" x14ac:dyDescent="0.35">
      <c r="A152" t="s">
        <v>66</v>
      </c>
      <c r="B152" t="s">
        <v>32</v>
      </c>
      <c r="C152" t="s">
        <v>28</v>
      </c>
      <c r="D152">
        <v>0.26</v>
      </c>
      <c r="E152">
        <v>5</v>
      </c>
      <c r="F152" t="s">
        <v>22</v>
      </c>
      <c r="G152" t="s">
        <v>29</v>
      </c>
      <c r="H152" t="s">
        <v>67</v>
      </c>
      <c r="I152">
        <v>1</v>
      </c>
      <c r="J152" t="s">
        <v>24</v>
      </c>
      <c r="K152" s="2" t="s">
        <v>24</v>
      </c>
      <c r="L152" t="s">
        <v>24</v>
      </c>
      <c r="M152" t="s">
        <v>24</v>
      </c>
      <c r="N152" t="s">
        <v>24</v>
      </c>
      <c r="O152" t="s">
        <v>68</v>
      </c>
      <c r="P152">
        <v>0.5</v>
      </c>
      <c r="Q152" t="s">
        <v>26</v>
      </c>
      <c r="R152" s="1">
        <v>132.82</v>
      </c>
      <c r="S152" s="1">
        <v>117.154805240225</v>
      </c>
      <c r="T152" s="1">
        <v>149.62343573864499</v>
      </c>
      <c r="U152" s="1" t="s">
        <v>24</v>
      </c>
      <c r="V152" s="1" t="s">
        <v>24</v>
      </c>
      <c r="W152" s="4" t="s">
        <v>24</v>
      </c>
      <c r="X152" s="1" t="s">
        <v>24</v>
      </c>
      <c r="Y152" s="1" t="s">
        <v>24</v>
      </c>
      <c r="Z152" s="4" t="s">
        <v>24</v>
      </c>
      <c r="AA152" s="1" t="s">
        <v>24</v>
      </c>
      <c r="AB152" s="1" t="s">
        <v>24</v>
      </c>
      <c r="AC152" s="4" t="s">
        <v>24</v>
      </c>
      <c r="AD152" t="s">
        <v>25</v>
      </c>
    </row>
    <row r="153" spans="1:30" hidden="1" x14ac:dyDescent="0.35">
      <c r="A153" t="s">
        <v>66</v>
      </c>
      <c r="B153" t="s">
        <v>32</v>
      </c>
      <c r="C153" t="s">
        <v>28</v>
      </c>
      <c r="D153">
        <v>0.26</v>
      </c>
      <c r="E153">
        <v>5</v>
      </c>
      <c r="F153" t="s">
        <v>22</v>
      </c>
      <c r="G153" t="s">
        <v>29</v>
      </c>
      <c r="H153" t="s">
        <v>67</v>
      </c>
      <c r="I153">
        <v>1</v>
      </c>
      <c r="J153" t="s">
        <v>24</v>
      </c>
      <c r="K153" s="2" t="s">
        <v>24</v>
      </c>
      <c r="L153" t="s">
        <v>24</v>
      </c>
      <c r="M153" t="s">
        <v>24</v>
      </c>
      <c r="N153" t="s">
        <v>24</v>
      </c>
      <c r="O153" t="s">
        <v>68</v>
      </c>
      <c r="P153">
        <v>0.7</v>
      </c>
      <c r="Q153" t="s">
        <v>26</v>
      </c>
      <c r="R153" s="1">
        <v>111.46</v>
      </c>
      <c r="S153" s="1">
        <v>100.418413247412</v>
      </c>
      <c r="T153" s="1">
        <v>122.510464161843</v>
      </c>
      <c r="U153" s="1" t="s">
        <v>24</v>
      </c>
      <c r="V153" s="1" t="s">
        <v>24</v>
      </c>
      <c r="W153" s="4" t="s">
        <v>24</v>
      </c>
      <c r="X153" s="1" t="s">
        <v>24</v>
      </c>
      <c r="Y153" s="1" t="s">
        <v>24</v>
      </c>
      <c r="Z153" s="4" t="s">
        <v>24</v>
      </c>
      <c r="AA153" s="1" t="s">
        <v>24</v>
      </c>
      <c r="AB153" s="1" t="s">
        <v>24</v>
      </c>
      <c r="AC153" s="4" t="s">
        <v>24</v>
      </c>
      <c r="AD153" t="s">
        <v>25</v>
      </c>
    </row>
    <row r="154" spans="1:30" hidden="1" x14ac:dyDescent="0.35">
      <c r="A154" t="s">
        <v>66</v>
      </c>
      <c r="B154" t="s">
        <v>32</v>
      </c>
      <c r="C154" t="s">
        <v>28</v>
      </c>
      <c r="D154">
        <v>0.26</v>
      </c>
      <c r="E154">
        <v>5</v>
      </c>
      <c r="F154" t="s">
        <v>22</v>
      </c>
      <c r="G154" t="s">
        <v>29</v>
      </c>
      <c r="H154" t="s">
        <v>67</v>
      </c>
      <c r="I154">
        <v>1</v>
      </c>
      <c r="J154" t="s">
        <v>24</v>
      </c>
      <c r="K154" s="2" t="s">
        <v>24</v>
      </c>
      <c r="L154" t="s">
        <v>24</v>
      </c>
      <c r="M154" t="s">
        <v>24</v>
      </c>
      <c r="N154" t="s">
        <v>24</v>
      </c>
      <c r="O154" t="s">
        <v>68</v>
      </c>
      <c r="P154">
        <v>1</v>
      </c>
      <c r="Q154" t="s">
        <v>26</v>
      </c>
      <c r="R154" s="1">
        <v>35.049999999999997</v>
      </c>
      <c r="S154" s="1">
        <v>26.108787444327302</v>
      </c>
      <c r="T154" s="1">
        <v>43.179917696387498</v>
      </c>
      <c r="U154" s="1" t="s">
        <v>24</v>
      </c>
      <c r="V154" s="1" t="s">
        <v>24</v>
      </c>
      <c r="W154" s="4" t="s">
        <v>24</v>
      </c>
      <c r="X154" s="1" t="s">
        <v>24</v>
      </c>
      <c r="Y154" s="1" t="s">
        <v>24</v>
      </c>
      <c r="Z154" s="4" t="s">
        <v>24</v>
      </c>
      <c r="AA154" s="1" t="s">
        <v>24</v>
      </c>
      <c r="AB154" s="1" t="s">
        <v>24</v>
      </c>
      <c r="AC154" s="4" t="s">
        <v>24</v>
      </c>
      <c r="AD154" t="s">
        <v>25</v>
      </c>
    </row>
    <row r="155" spans="1:30" hidden="1" x14ac:dyDescent="0.35">
      <c r="A155" t="s">
        <v>66</v>
      </c>
      <c r="B155" t="s">
        <v>32</v>
      </c>
      <c r="C155" t="s">
        <v>28</v>
      </c>
      <c r="D155">
        <v>0.26</v>
      </c>
      <c r="E155">
        <v>5</v>
      </c>
      <c r="F155" t="s">
        <v>22</v>
      </c>
      <c r="G155" t="s">
        <v>29</v>
      </c>
      <c r="H155" t="s">
        <v>67</v>
      </c>
      <c r="I155">
        <v>1</v>
      </c>
      <c r="J155" t="s">
        <v>24</v>
      </c>
      <c r="K155" s="2" t="s">
        <v>24</v>
      </c>
      <c r="L155" t="s">
        <v>24</v>
      </c>
      <c r="M155" t="s">
        <v>24</v>
      </c>
      <c r="N155" t="s">
        <v>24</v>
      </c>
      <c r="O155" t="s">
        <v>68</v>
      </c>
      <c r="P155">
        <v>4</v>
      </c>
      <c r="Q155" t="s">
        <v>26</v>
      </c>
      <c r="R155" s="1">
        <v>64.349999999999994</v>
      </c>
      <c r="S155" s="1">
        <v>51.8828366294074</v>
      </c>
      <c r="T155" s="1">
        <v>78.661085269595503</v>
      </c>
      <c r="U155" s="1" t="s">
        <v>24</v>
      </c>
      <c r="V155" s="1" t="s">
        <v>24</v>
      </c>
      <c r="W155" s="4" t="s">
        <v>24</v>
      </c>
      <c r="X155" s="1" t="s">
        <v>24</v>
      </c>
      <c r="Y155" s="1" t="s">
        <v>24</v>
      </c>
      <c r="Z155" s="4" t="s">
        <v>24</v>
      </c>
      <c r="AA155" s="1" t="s">
        <v>24</v>
      </c>
      <c r="AB155" s="1" t="s">
        <v>24</v>
      </c>
      <c r="AC155" s="4" t="s">
        <v>24</v>
      </c>
      <c r="AD155" t="s">
        <v>25</v>
      </c>
    </row>
    <row r="156" spans="1:30" hidden="1" x14ac:dyDescent="0.35">
      <c r="A156" t="s">
        <v>66</v>
      </c>
      <c r="B156" t="s">
        <v>32</v>
      </c>
      <c r="C156" t="s">
        <v>28</v>
      </c>
      <c r="D156">
        <v>0.26</v>
      </c>
      <c r="E156">
        <v>5</v>
      </c>
      <c r="F156" t="s">
        <v>22</v>
      </c>
      <c r="G156" t="s">
        <v>29</v>
      </c>
      <c r="H156" t="s">
        <v>67</v>
      </c>
      <c r="I156">
        <v>1</v>
      </c>
      <c r="J156" t="s">
        <v>24</v>
      </c>
      <c r="K156" s="2" t="s">
        <v>24</v>
      </c>
      <c r="L156" t="s">
        <v>24</v>
      </c>
      <c r="M156" t="s">
        <v>24</v>
      </c>
      <c r="N156" t="s">
        <v>24</v>
      </c>
      <c r="O156" t="s">
        <v>68</v>
      </c>
      <c r="P156">
        <v>8</v>
      </c>
      <c r="Q156" t="s">
        <v>26</v>
      </c>
      <c r="R156" s="1">
        <v>21.92</v>
      </c>
      <c r="S156" s="1">
        <v>16.736391992812901</v>
      </c>
      <c r="T156" s="1">
        <v>25.1046033118532</v>
      </c>
      <c r="U156" s="1" t="s">
        <v>24</v>
      </c>
      <c r="V156" s="1" t="s">
        <v>24</v>
      </c>
      <c r="W156" s="4" t="s">
        <v>24</v>
      </c>
      <c r="X156" s="1" t="s">
        <v>24</v>
      </c>
      <c r="Y156" s="1" t="s">
        <v>24</v>
      </c>
      <c r="Z156" s="4" t="s">
        <v>24</v>
      </c>
      <c r="AA156" s="1" t="s">
        <v>24</v>
      </c>
      <c r="AB156" s="1" t="s">
        <v>24</v>
      </c>
      <c r="AC156" s="4" t="s">
        <v>24</v>
      </c>
      <c r="AD156" t="s">
        <v>25</v>
      </c>
    </row>
    <row r="157" spans="1:30" hidden="1" x14ac:dyDescent="0.35">
      <c r="A157" t="s">
        <v>66</v>
      </c>
      <c r="B157" t="s">
        <v>32</v>
      </c>
      <c r="C157" t="s">
        <v>28</v>
      </c>
      <c r="D157">
        <v>0.26</v>
      </c>
      <c r="E157">
        <v>5</v>
      </c>
      <c r="F157" t="s">
        <v>22</v>
      </c>
      <c r="G157" t="s">
        <v>29</v>
      </c>
      <c r="H157" t="s">
        <v>67</v>
      </c>
      <c r="I157">
        <v>1</v>
      </c>
      <c r="J157" t="s">
        <v>24</v>
      </c>
      <c r="K157" s="2" t="s">
        <v>24</v>
      </c>
      <c r="L157" t="s">
        <v>24</v>
      </c>
      <c r="M157" t="s">
        <v>24</v>
      </c>
      <c r="N157" t="s">
        <v>24</v>
      </c>
      <c r="O157" t="s">
        <v>68</v>
      </c>
      <c r="P157">
        <v>24</v>
      </c>
      <c r="Q157" t="s">
        <v>26</v>
      </c>
      <c r="R157" s="1">
        <v>4.1500000000000004</v>
      </c>
      <c r="S157" s="1">
        <v>0</v>
      </c>
      <c r="T157" s="1">
        <v>9.3723648062467309</v>
      </c>
      <c r="U157" s="1" t="s">
        <v>24</v>
      </c>
      <c r="V157" s="1" t="s">
        <v>24</v>
      </c>
      <c r="W157" s="4" t="s">
        <v>24</v>
      </c>
      <c r="X157" s="1" t="s">
        <v>24</v>
      </c>
      <c r="Y157" s="1" t="s">
        <v>24</v>
      </c>
      <c r="Z157" s="4" t="s">
        <v>24</v>
      </c>
      <c r="AA157" s="1" t="s">
        <v>24</v>
      </c>
      <c r="AB157" s="1" t="s">
        <v>24</v>
      </c>
      <c r="AC157" s="4" t="s">
        <v>24</v>
      </c>
      <c r="AD157" t="s">
        <v>25</v>
      </c>
    </row>
    <row r="158" spans="1:30" hidden="1" x14ac:dyDescent="0.35">
      <c r="A158" t="s">
        <v>66</v>
      </c>
      <c r="B158" t="s">
        <v>32</v>
      </c>
      <c r="C158" t="s">
        <v>42</v>
      </c>
      <c r="D158">
        <v>0.26</v>
      </c>
      <c r="E158">
        <v>5</v>
      </c>
      <c r="F158" t="s">
        <v>22</v>
      </c>
      <c r="G158" t="s">
        <v>29</v>
      </c>
      <c r="H158" t="s">
        <v>67</v>
      </c>
      <c r="I158">
        <v>1</v>
      </c>
      <c r="J158" t="s">
        <v>24</v>
      </c>
      <c r="K158" s="2" t="s">
        <v>24</v>
      </c>
      <c r="L158" t="s">
        <v>24</v>
      </c>
      <c r="M158" t="s">
        <v>24</v>
      </c>
      <c r="N158" t="s">
        <v>24</v>
      </c>
      <c r="O158" t="s">
        <v>30</v>
      </c>
      <c r="P158">
        <v>0.5</v>
      </c>
      <c r="Q158" t="s">
        <v>26</v>
      </c>
      <c r="R158" s="1">
        <v>5.58</v>
      </c>
      <c r="S158" s="1">
        <v>3.9303497769939302</v>
      </c>
      <c r="T158" s="1">
        <v>7.1144286198402504</v>
      </c>
      <c r="U158" s="1" t="s">
        <v>24</v>
      </c>
      <c r="V158" s="1" t="s">
        <v>24</v>
      </c>
      <c r="W158" s="4" t="s">
        <v>24</v>
      </c>
      <c r="X158" s="1" t="s">
        <v>24</v>
      </c>
      <c r="Y158" s="1" t="s">
        <v>24</v>
      </c>
      <c r="Z158" s="4" t="s">
        <v>24</v>
      </c>
      <c r="AA158" s="1" t="s">
        <v>24</v>
      </c>
      <c r="AB158" s="1" t="s">
        <v>24</v>
      </c>
      <c r="AC158" s="4" t="s">
        <v>24</v>
      </c>
      <c r="AD158" t="s">
        <v>25</v>
      </c>
    </row>
    <row r="159" spans="1:30" hidden="1" x14ac:dyDescent="0.35">
      <c r="A159" t="s">
        <v>66</v>
      </c>
      <c r="B159" t="s">
        <v>32</v>
      </c>
      <c r="C159" t="s">
        <v>42</v>
      </c>
      <c r="D159">
        <v>0.26</v>
      </c>
      <c r="E159">
        <v>5</v>
      </c>
      <c r="F159" t="s">
        <v>22</v>
      </c>
      <c r="G159" t="s">
        <v>29</v>
      </c>
      <c r="H159" t="s">
        <v>67</v>
      </c>
      <c r="I159">
        <v>1</v>
      </c>
      <c r="J159" t="s">
        <v>24</v>
      </c>
      <c r="K159" s="2" t="s">
        <v>24</v>
      </c>
      <c r="L159" t="s">
        <v>24</v>
      </c>
      <c r="M159" t="s">
        <v>24</v>
      </c>
      <c r="N159" t="s">
        <v>24</v>
      </c>
      <c r="O159" t="s">
        <v>30</v>
      </c>
      <c r="P159">
        <v>0.7</v>
      </c>
      <c r="Q159" t="s">
        <v>26</v>
      </c>
      <c r="R159" s="1">
        <v>4.47</v>
      </c>
      <c r="S159" s="1">
        <v>3.5820895522387999</v>
      </c>
      <c r="T159" s="1">
        <v>5.3233815662896404</v>
      </c>
      <c r="U159" s="1" t="s">
        <v>24</v>
      </c>
      <c r="V159" s="1" t="s">
        <v>24</v>
      </c>
      <c r="W159" s="4" t="s">
        <v>24</v>
      </c>
      <c r="X159" s="1" t="s">
        <v>24</v>
      </c>
      <c r="Y159" s="1" t="s">
        <v>24</v>
      </c>
      <c r="Z159" s="4" t="s">
        <v>24</v>
      </c>
      <c r="AA159" s="1" t="s">
        <v>24</v>
      </c>
      <c r="AB159" s="1" t="s">
        <v>24</v>
      </c>
      <c r="AC159" s="4" t="s">
        <v>24</v>
      </c>
      <c r="AD159" t="s">
        <v>25</v>
      </c>
    </row>
    <row r="160" spans="1:30" hidden="1" x14ac:dyDescent="0.35">
      <c r="A160" t="s">
        <v>66</v>
      </c>
      <c r="B160" t="s">
        <v>32</v>
      </c>
      <c r="C160" t="s">
        <v>42</v>
      </c>
      <c r="D160">
        <v>0.26</v>
      </c>
      <c r="E160">
        <v>5</v>
      </c>
      <c r="F160" t="s">
        <v>22</v>
      </c>
      <c r="G160" t="s">
        <v>29</v>
      </c>
      <c r="H160" t="s">
        <v>67</v>
      </c>
      <c r="I160">
        <v>1</v>
      </c>
      <c r="J160" t="s">
        <v>24</v>
      </c>
      <c r="K160" s="2" t="s">
        <v>24</v>
      </c>
      <c r="L160" t="s">
        <v>24</v>
      </c>
      <c r="M160" t="s">
        <v>24</v>
      </c>
      <c r="N160" t="s">
        <v>24</v>
      </c>
      <c r="O160" t="s">
        <v>30</v>
      </c>
      <c r="P160">
        <v>1</v>
      </c>
      <c r="Q160" t="s">
        <v>26</v>
      </c>
      <c r="R160" s="1">
        <v>9.51</v>
      </c>
      <c r="S160" s="1">
        <v>7.6616930605760203</v>
      </c>
      <c r="T160" s="1">
        <v>11.144279366108901</v>
      </c>
      <c r="U160" s="1" t="s">
        <v>24</v>
      </c>
      <c r="V160" s="1" t="s">
        <v>24</v>
      </c>
      <c r="W160" s="4" t="s">
        <v>24</v>
      </c>
      <c r="X160" s="1" t="s">
        <v>24</v>
      </c>
      <c r="Y160" s="1" t="s">
        <v>24</v>
      </c>
      <c r="Z160" s="4" t="s">
        <v>24</v>
      </c>
      <c r="AA160" s="1" t="s">
        <v>24</v>
      </c>
      <c r="AB160" s="1" t="s">
        <v>24</v>
      </c>
      <c r="AC160" s="4" t="s">
        <v>24</v>
      </c>
      <c r="AD160" t="s">
        <v>25</v>
      </c>
    </row>
    <row r="161" spans="1:30" hidden="1" x14ac:dyDescent="0.35">
      <c r="A161" t="s">
        <v>66</v>
      </c>
      <c r="B161" t="s">
        <v>32</v>
      </c>
      <c r="C161" t="s">
        <v>42</v>
      </c>
      <c r="D161">
        <v>0.26</v>
      </c>
      <c r="E161">
        <v>5</v>
      </c>
      <c r="F161" t="s">
        <v>22</v>
      </c>
      <c r="G161" t="s">
        <v>29</v>
      </c>
      <c r="H161" t="s">
        <v>67</v>
      </c>
      <c r="I161">
        <v>1</v>
      </c>
      <c r="J161" t="s">
        <v>24</v>
      </c>
      <c r="K161" s="2" t="s">
        <v>24</v>
      </c>
      <c r="L161" t="s">
        <v>24</v>
      </c>
      <c r="M161" t="s">
        <v>24</v>
      </c>
      <c r="N161" t="s">
        <v>24</v>
      </c>
      <c r="O161" t="s">
        <v>30</v>
      </c>
      <c r="P161">
        <v>4</v>
      </c>
      <c r="Q161" t="s">
        <v>26</v>
      </c>
      <c r="R161" s="1">
        <v>14.1</v>
      </c>
      <c r="S161" s="1">
        <v>11.044776119402901</v>
      </c>
      <c r="T161" s="1">
        <v>16.268656716417901</v>
      </c>
      <c r="U161" s="1" t="s">
        <v>24</v>
      </c>
      <c r="V161" s="1" t="s">
        <v>24</v>
      </c>
      <c r="W161" s="4" t="s">
        <v>24</v>
      </c>
      <c r="X161" s="1" t="s">
        <v>24</v>
      </c>
      <c r="Y161" s="1" t="s">
        <v>24</v>
      </c>
      <c r="Z161" s="4" t="s">
        <v>24</v>
      </c>
      <c r="AA161" s="1" t="s">
        <v>24</v>
      </c>
      <c r="AB161" s="1" t="s">
        <v>24</v>
      </c>
      <c r="AC161" s="4" t="s">
        <v>24</v>
      </c>
      <c r="AD161" t="s">
        <v>25</v>
      </c>
    </row>
    <row r="162" spans="1:30" hidden="1" x14ac:dyDescent="0.35">
      <c r="A162" t="s">
        <v>66</v>
      </c>
      <c r="B162" t="s">
        <v>32</v>
      </c>
      <c r="C162" t="s">
        <v>42</v>
      </c>
      <c r="D162">
        <v>0.26</v>
      </c>
      <c r="E162">
        <v>5</v>
      </c>
      <c r="F162" t="s">
        <v>22</v>
      </c>
      <c r="G162" t="s">
        <v>29</v>
      </c>
      <c r="H162" t="s">
        <v>67</v>
      </c>
      <c r="I162">
        <v>1</v>
      </c>
      <c r="J162" t="s">
        <v>24</v>
      </c>
      <c r="K162" s="2" t="s">
        <v>24</v>
      </c>
      <c r="L162" t="s">
        <v>24</v>
      </c>
      <c r="M162" t="s">
        <v>24</v>
      </c>
      <c r="N162" t="s">
        <v>24</v>
      </c>
      <c r="O162" t="s">
        <v>30</v>
      </c>
      <c r="P162">
        <v>8</v>
      </c>
      <c r="Q162" t="s">
        <v>26</v>
      </c>
      <c r="R162" s="1">
        <v>7.83</v>
      </c>
      <c r="S162" s="1">
        <v>6.1194029850746201</v>
      </c>
      <c r="T162" s="1">
        <v>9.6019915680387093</v>
      </c>
      <c r="U162" s="1" t="s">
        <v>24</v>
      </c>
      <c r="V162" s="1" t="s">
        <v>24</v>
      </c>
      <c r="W162" s="4" t="s">
        <v>24</v>
      </c>
      <c r="X162" s="1" t="s">
        <v>24</v>
      </c>
      <c r="Y162" s="1" t="s">
        <v>24</v>
      </c>
      <c r="Z162" s="4" t="s">
        <v>24</v>
      </c>
      <c r="AA162" s="1" t="s">
        <v>24</v>
      </c>
      <c r="AB162" s="1" t="s">
        <v>24</v>
      </c>
      <c r="AC162" s="4" t="s">
        <v>24</v>
      </c>
      <c r="AD162" t="s">
        <v>25</v>
      </c>
    </row>
    <row r="163" spans="1:30" hidden="1" x14ac:dyDescent="0.35">
      <c r="A163" t="s">
        <v>66</v>
      </c>
      <c r="B163" t="s">
        <v>32</v>
      </c>
      <c r="C163" t="s">
        <v>42</v>
      </c>
      <c r="D163">
        <v>0.26</v>
      </c>
      <c r="E163">
        <v>5</v>
      </c>
      <c r="F163" t="s">
        <v>22</v>
      </c>
      <c r="G163" t="s">
        <v>29</v>
      </c>
      <c r="H163" t="s">
        <v>67</v>
      </c>
      <c r="I163">
        <v>1</v>
      </c>
      <c r="J163" t="s">
        <v>24</v>
      </c>
      <c r="K163" s="2" t="s">
        <v>24</v>
      </c>
      <c r="L163" t="s">
        <v>24</v>
      </c>
      <c r="M163" t="s">
        <v>24</v>
      </c>
      <c r="N163" t="s">
        <v>24</v>
      </c>
      <c r="O163" t="s">
        <v>30</v>
      </c>
      <c r="P163">
        <v>24</v>
      </c>
      <c r="Q163" t="s">
        <v>26</v>
      </c>
      <c r="R163" s="1">
        <v>1.87</v>
      </c>
      <c r="S163" s="1">
        <v>0.54726216330457</v>
      </c>
      <c r="T163" s="1">
        <v>3.3333348516207999</v>
      </c>
      <c r="U163" s="1" t="s">
        <v>24</v>
      </c>
      <c r="V163" s="1" t="s">
        <v>24</v>
      </c>
      <c r="W163" s="4" t="s">
        <v>24</v>
      </c>
      <c r="X163" s="1" t="s">
        <v>24</v>
      </c>
      <c r="Y163" s="1" t="s">
        <v>24</v>
      </c>
      <c r="Z163" s="4" t="s">
        <v>24</v>
      </c>
      <c r="AA163" s="1" t="s">
        <v>24</v>
      </c>
      <c r="AB163" s="1" t="s">
        <v>24</v>
      </c>
      <c r="AC163" s="4" t="s">
        <v>24</v>
      </c>
      <c r="AD163" t="s">
        <v>25</v>
      </c>
    </row>
    <row r="164" spans="1:30" hidden="1" x14ac:dyDescent="0.35">
      <c r="A164" t="s">
        <v>66</v>
      </c>
      <c r="B164" t="s">
        <v>32</v>
      </c>
      <c r="C164" t="s">
        <v>28</v>
      </c>
      <c r="D164">
        <v>0.26</v>
      </c>
      <c r="E164">
        <v>5</v>
      </c>
      <c r="F164" t="s">
        <v>22</v>
      </c>
      <c r="G164" t="s">
        <v>29</v>
      </c>
      <c r="H164" t="s">
        <v>67</v>
      </c>
      <c r="I164">
        <v>1</v>
      </c>
      <c r="J164" t="s">
        <v>24</v>
      </c>
      <c r="K164" s="2" t="s">
        <v>24</v>
      </c>
      <c r="L164" t="s">
        <v>24</v>
      </c>
      <c r="M164" t="s">
        <v>24</v>
      </c>
      <c r="N164" t="s">
        <v>24</v>
      </c>
      <c r="O164" t="s">
        <v>30</v>
      </c>
      <c r="P164">
        <v>0.5</v>
      </c>
      <c r="Q164" t="s">
        <v>26</v>
      </c>
      <c r="R164" s="1">
        <v>12.85</v>
      </c>
      <c r="S164" s="1">
        <v>12.0398017541686</v>
      </c>
      <c r="T164" s="1">
        <v>13.4328358208955</v>
      </c>
      <c r="U164" s="1" t="s">
        <v>24</v>
      </c>
      <c r="V164" s="1" t="s">
        <v>24</v>
      </c>
      <c r="W164" s="4" t="s">
        <v>24</v>
      </c>
      <c r="X164" s="1" t="s">
        <v>24</v>
      </c>
      <c r="Y164" s="1" t="s">
        <v>24</v>
      </c>
      <c r="Z164" s="4" t="s">
        <v>24</v>
      </c>
      <c r="AA164" s="1" t="s">
        <v>24</v>
      </c>
      <c r="AB164" s="1" t="s">
        <v>24</v>
      </c>
      <c r="AC164" s="4" t="s">
        <v>24</v>
      </c>
      <c r="AD164" t="s">
        <v>25</v>
      </c>
    </row>
    <row r="165" spans="1:30" hidden="1" x14ac:dyDescent="0.35">
      <c r="A165" t="s">
        <v>66</v>
      </c>
      <c r="B165" t="s">
        <v>32</v>
      </c>
      <c r="C165" t="s">
        <v>28</v>
      </c>
      <c r="D165">
        <v>0.26</v>
      </c>
      <c r="E165">
        <v>5</v>
      </c>
      <c r="F165" t="s">
        <v>22</v>
      </c>
      <c r="G165" t="s">
        <v>29</v>
      </c>
      <c r="H165" t="s">
        <v>67</v>
      </c>
      <c r="I165">
        <v>1</v>
      </c>
      <c r="J165" t="s">
        <v>24</v>
      </c>
      <c r="K165" s="2" t="s">
        <v>24</v>
      </c>
      <c r="L165" t="s">
        <v>24</v>
      </c>
      <c r="M165" t="s">
        <v>24</v>
      </c>
      <c r="N165" t="s">
        <v>24</v>
      </c>
      <c r="O165" t="s">
        <v>30</v>
      </c>
      <c r="P165">
        <v>0.7</v>
      </c>
      <c r="Q165" t="s">
        <v>26</v>
      </c>
      <c r="R165" s="1">
        <v>8.67</v>
      </c>
      <c r="S165" s="1">
        <v>7.2636823511835296</v>
      </c>
      <c r="T165" s="1">
        <v>9.8507462686567102</v>
      </c>
      <c r="U165" s="1" t="s">
        <v>24</v>
      </c>
      <c r="V165" s="1" t="s">
        <v>24</v>
      </c>
      <c r="W165" s="4" t="s">
        <v>24</v>
      </c>
      <c r="X165" s="1" t="s">
        <v>24</v>
      </c>
      <c r="Y165" s="1" t="s">
        <v>24</v>
      </c>
      <c r="Z165" s="4" t="s">
        <v>24</v>
      </c>
      <c r="AA165" s="1" t="s">
        <v>24</v>
      </c>
      <c r="AB165" s="1" t="s">
        <v>24</v>
      </c>
      <c r="AC165" s="4" t="s">
        <v>24</v>
      </c>
      <c r="AD165" t="s">
        <v>25</v>
      </c>
    </row>
    <row r="166" spans="1:30" hidden="1" x14ac:dyDescent="0.35">
      <c r="A166" t="s">
        <v>66</v>
      </c>
      <c r="B166" t="s">
        <v>32</v>
      </c>
      <c r="C166" t="s">
        <v>28</v>
      </c>
      <c r="D166">
        <v>0.26</v>
      </c>
      <c r="E166">
        <v>5</v>
      </c>
      <c r="F166" t="s">
        <v>22</v>
      </c>
      <c r="G166" t="s">
        <v>29</v>
      </c>
      <c r="H166" t="s">
        <v>67</v>
      </c>
      <c r="I166">
        <v>1</v>
      </c>
      <c r="J166" t="s">
        <v>24</v>
      </c>
      <c r="K166" s="2" t="s">
        <v>24</v>
      </c>
      <c r="L166" t="s">
        <v>24</v>
      </c>
      <c r="M166" t="s">
        <v>24</v>
      </c>
      <c r="N166" t="s">
        <v>24</v>
      </c>
      <c r="O166" t="s">
        <v>30</v>
      </c>
      <c r="P166">
        <v>1</v>
      </c>
      <c r="Q166" t="s">
        <v>26</v>
      </c>
      <c r="R166" s="1">
        <v>2.29</v>
      </c>
      <c r="S166" s="1">
        <v>0.34826022475513002</v>
      </c>
      <c r="T166" s="1">
        <v>4.2786054468866599</v>
      </c>
      <c r="U166" s="1" t="s">
        <v>24</v>
      </c>
      <c r="V166" s="1" t="s">
        <v>24</v>
      </c>
      <c r="W166" s="4" t="s">
        <v>24</v>
      </c>
      <c r="X166" s="1" t="s">
        <v>24</v>
      </c>
      <c r="Y166" s="1" t="s">
        <v>24</v>
      </c>
      <c r="Z166" s="4" t="s">
        <v>24</v>
      </c>
      <c r="AA166" s="1" t="s">
        <v>24</v>
      </c>
      <c r="AB166" s="1" t="s">
        <v>24</v>
      </c>
      <c r="AC166" s="4" t="s">
        <v>24</v>
      </c>
      <c r="AD166" t="s">
        <v>25</v>
      </c>
    </row>
    <row r="167" spans="1:30" hidden="1" x14ac:dyDescent="0.35">
      <c r="A167" t="s">
        <v>66</v>
      </c>
      <c r="B167" t="s">
        <v>32</v>
      </c>
      <c r="C167" t="s">
        <v>28</v>
      </c>
      <c r="D167">
        <v>0.26</v>
      </c>
      <c r="E167">
        <v>5</v>
      </c>
      <c r="F167" t="s">
        <v>22</v>
      </c>
      <c r="G167" t="s">
        <v>29</v>
      </c>
      <c r="H167" t="s">
        <v>67</v>
      </c>
      <c r="I167">
        <v>1</v>
      </c>
      <c r="J167" t="s">
        <v>24</v>
      </c>
      <c r="K167" s="2" t="s">
        <v>24</v>
      </c>
      <c r="L167" t="s">
        <v>24</v>
      </c>
      <c r="M167" t="s">
        <v>24</v>
      </c>
      <c r="N167" t="s">
        <v>24</v>
      </c>
      <c r="O167" t="s">
        <v>30</v>
      </c>
      <c r="P167">
        <v>4</v>
      </c>
      <c r="Q167" t="s">
        <v>26</v>
      </c>
      <c r="R167" s="1">
        <v>6.84</v>
      </c>
      <c r="S167" s="1">
        <v>5.6716417910447703</v>
      </c>
      <c r="T167" s="1">
        <v>7.9602005232625901</v>
      </c>
      <c r="U167" s="1" t="s">
        <v>24</v>
      </c>
      <c r="V167" s="1" t="s">
        <v>24</v>
      </c>
      <c r="W167" s="4" t="s">
        <v>24</v>
      </c>
      <c r="X167" s="1" t="s">
        <v>24</v>
      </c>
      <c r="Y167" s="1" t="s">
        <v>24</v>
      </c>
      <c r="Z167" s="4" t="s">
        <v>24</v>
      </c>
      <c r="AA167" s="1" t="s">
        <v>24</v>
      </c>
      <c r="AB167" s="1" t="s">
        <v>24</v>
      </c>
      <c r="AC167" s="4" t="s">
        <v>24</v>
      </c>
      <c r="AD167" t="s">
        <v>25</v>
      </c>
    </row>
    <row r="168" spans="1:30" hidden="1" x14ac:dyDescent="0.35">
      <c r="A168" t="s">
        <v>66</v>
      </c>
      <c r="B168" t="s">
        <v>32</v>
      </c>
      <c r="C168" t="s">
        <v>28</v>
      </c>
      <c r="D168">
        <v>0.26</v>
      </c>
      <c r="E168">
        <v>5</v>
      </c>
      <c r="F168" t="s">
        <v>22</v>
      </c>
      <c r="G168" t="s">
        <v>29</v>
      </c>
      <c r="H168" t="s">
        <v>67</v>
      </c>
      <c r="I168">
        <v>1</v>
      </c>
      <c r="J168" t="s">
        <v>24</v>
      </c>
      <c r="K168" s="2" t="s">
        <v>24</v>
      </c>
      <c r="L168" t="s">
        <v>24</v>
      </c>
      <c r="M168" t="s">
        <v>24</v>
      </c>
      <c r="N168" t="s">
        <v>24</v>
      </c>
      <c r="O168" t="s">
        <v>30</v>
      </c>
      <c r="P168">
        <v>8</v>
      </c>
      <c r="Q168" t="s">
        <v>26</v>
      </c>
      <c r="R168" s="1">
        <v>5.23</v>
      </c>
      <c r="S168" s="1">
        <v>3.08457559614039</v>
      </c>
      <c r="T168" s="1">
        <v>6.7164179104477597</v>
      </c>
      <c r="U168" s="1" t="s">
        <v>24</v>
      </c>
      <c r="V168" s="1" t="s">
        <v>24</v>
      </c>
      <c r="W168" s="4" t="s">
        <v>24</v>
      </c>
      <c r="X168" s="1" t="s">
        <v>24</v>
      </c>
      <c r="Y168" s="1" t="s">
        <v>24</v>
      </c>
      <c r="Z168" s="4" t="s">
        <v>24</v>
      </c>
      <c r="AA168" s="1" t="s">
        <v>24</v>
      </c>
      <c r="AB168" s="1" t="s">
        <v>24</v>
      </c>
      <c r="AC168" s="4" t="s">
        <v>24</v>
      </c>
      <c r="AD168" t="s">
        <v>25</v>
      </c>
    </row>
    <row r="169" spans="1:30" hidden="1" x14ac:dyDescent="0.35">
      <c r="A169" t="s">
        <v>66</v>
      </c>
      <c r="B169" t="s">
        <v>32</v>
      </c>
      <c r="C169" t="s">
        <v>28</v>
      </c>
      <c r="D169">
        <v>0.26</v>
      </c>
      <c r="E169">
        <v>5</v>
      </c>
      <c r="F169" t="s">
        <v>22</v>
      </c>
      <c r="G169" t="s">
        <v>29</v>
      </c>
      <c r="H169" t="s">
        <v>67</v>
      </c>
      <c r="I169">
        <v>1</v>
      </c>
      <c r="J169" t="s">
        <v>24</v>
      </c>
      <c r="K169" s="2" t="s">
        <v>24</v>
      </c>
      <c r="L169" t="s">
        <v>24</v>
      </c>
      <c r="M169" t="s">
        <v>24</v>
      </c>
      <c r="N169" t="s">
        <v>24</v>
      </c>
      <c r="O169" t="s">
        <v>30</v>
      </c>
      <c r="P169">
        <v>24</v>
      </c>
      <c r="Q169" t="s">
        <v>26</v>
      </c>
      <c r="R169" s="1">
        <v>0.93</v>
      </c>
      <c r="S169" s="1">
        <v>9.9500969274720102E-2</v>
      </c>
      <c r="T169" s="1">
        <v>1.7412920140508299</v>
      </c>
      <c r="U169" s="1" t="s">
        <v>24</v>
      </c>
      <c r="V169" s="1" t="s">
        <v>24</v>
      </c>
      <c r="W169" s="4" t="s">
        <v>24</v>
      </c>
      <c r="X169" s="1" t="s">
        <v>24</v>
      </c>
      <c r="Y169" s="1" t="s">
        <v>24</v>
      </c>
      <c r="Z169" s="4" t="s">
        <v>24</v>
      </c>
      <c r="AA169" s="1" t="s">
        <v>24</v>
      </c>
      <c r="AB169" s="1" t="s">
        <v>24</v>
      </c>
      <c r="AC169" s="4" t="s">
        <v>24</v>
      </c>
      <c r="AD169" t="s">
        <v>25</v>
      </c>
    </row>
    <row r="170" spans="1:30" hidden="1" x14ac:dyDescent="0.35">
      <c r="A170" t="s">
        <v>66</v>
      </c>
      <c r="B170" t="s">
        <v>32</v>
      </c>
      <c r="C170" t="s">
        <v>42</v>
      </c>
      <c r="D170">
        <v>0.26</v>
      </c>
      <c r="E170">
        <v>5</v>
      </c>
      <c r="F170" t="s">
        <v>22</v>
      </c>
      <c r="G170" t="s">
        <v>29</v>
      </c>
      <c r="H170" t="s">
        <v>67</v>
      </c>
      <c r="I170">
        <v>1</v>
      </c>
      <c r="J170" t="s">
        <v>24</v>
      </c>
      <c r="K170" s="2" t="s">
        <v>24</v>
      </c>
      <c r="L170" t="s">
        <v>24</v>
      </c>
      <c r="M170" t="s">
        <v>24</v>
      </c>
      <c r="N170" t="s">
        <v>24</v>
      </c>
      <c r="O170" t="s">
        <v>69</v>
      </c>
      <c r="P170">
        <v>0.5</v>
      </c>
      <c r="Q170" t="s">
        <v>26</v>
      </c>
      <c r="R170" s="1">
        <v>8.0299999999999994</v>
      </c>
      <c r="S170" s="1">
        <v>5.7362641210041501</v>
      </c>
      <c r="T170" s="1">
        <v>10.4175811041582</v>
      </c>
      <c r="U170" s="1" t="s">
        <v>24</v>
      </c>
      <c r="V170" s="1" t="s">
        <v>24</v>
      </c>
      <c r="W170" s="4" t="s">
        <v>24</v>
      </c>
      <c r="X170" s="1" t="s">
        <v>24</v>
      </c>
      <c r="Y170" s="1" t="s">
        <v>24</v>
      </c>
      <c r="Z170" s="4" t="s">
        <v>24</v>
      </c>
      <c r="AA170" s="1" t="s">
        <v>24</v>
      </c>
      <c r="AB170" s="1" t="s">
        <v>24</v>
      </c>
      <c r="AC170" s="4" t="s">
        <v>24</v>
      </c>
      <c r="AD170" t="s">
        <v>25</v>
      </c>
    </row>
    <row r="171" spans="1:30" hidden="1" x14ac:dyDescent="0.35">
      <c r="A171" t="s">
        <v>66</v>
      </c>
      <c r="B171" t="s">
        <v>32</v>
      </c>
      <c r="C171" t="s">
        <v>42</v>
      </c>
      <c r="D171">
        <v>0.26</v>
      </c>
      <c r="E171">
        <v>5</v>
      </c>
      <c r="F171" t="s">
        <v>22</v>
      </c>
      <c r="G171" t="s">
        <v>29</v>
      </c>
      <c r="H171" t="s">
        <v>67</v>
      </c>
      <c r="I171">
        <v>1</v>
      </c>
      <c r="J171" t="s">
        <v>24</v>
      </c>
      <c r="K171" s="2" t="s">
        <v>24</v>
      </c>
      <c r="L171" t="s">
        <v>24</v>
      </c>
      <c r="M171" t="s">
        <v>24</v>
      </c>
      <c r="N171" t="s">
        <v>24</v>
      </c>
      <c r="O171" t="s">
        <v>69</v>
      </c>
      <c r="P171">
        <v>0.7</v>
      </c>
      <c r="Q171" t="s">
        <v>26</v>
      </c>
      <c r="R171" s="1">
        <v>6.27</v>
      </c>
      <c r="S171" s="1">
        <v>5.0109853227877901</v>
      </c>
      <c r="T171" s="1">
        <v>7.7142862316952296</v>
      </c>
      <c r="U171" s="1" t="s">
        <v>24</v>
      </c>
      <c r="V171" s="1" t="s">
        <v>24</v>
      </c>
      <c r="W171" s="4" t="s">
        <v>24</v>
      </c>
      <c r="X171" s="1" t="s">
        <v>24</v>
      </c>
      <c r="Y171" s="1" t="s">
        <v>24</v>
      </c>
      <c r="Z171" s="4" t="s">
        <v>24</v>
      </c>
      <c r="AA171" s="1" t="s">
        <v>24</v>
      </c>
      <c r="AB171" s="1" t="s">
        <v>24</v>
      </c>
      <c r="AC171" s="4" t="s">
        <v>24</v>
      </c>
      <c r="AD171" t="s">
        <v>25</v>
      </c>
    </row>
    <row r="172" spans="1:30" hidden="1" x14ac:dyDescent="0.35">
      <c r="A172" t="s">
        <v>66</v>
      </c>
      <c r="B172" t="s">
        <v>32</v>
      </c>
      <c r="C172" t="s">
        <v>42</v>
      </c>
      <c r="D172">
        <v>0.26</v>
      </c>
      <c r="E172">
        <v>5</v>
      </c>
      <c r="F172" t="s">
        <v>22</v>
      </c>
      <c r="G172" t="s">
        <v>29</v>
      </c>
      <c r="H172" t="s">
        <v>67</v>
      </c>
      <c r="I172">
        <v>1</v>
      </c>
      <c r="J172" t="s">
        <v>24</v>
      </c>
      <c r="K172" s="2" t="s">
        <v>24</v>
      </c>
      <c r="L172" t="s">
        <v>24</v>
      </c>
      <c r="M172" t="s">
        <v>24</v>
      </c>
      <c r="N172" t="s">
        <v>24</v>
      </c>
      <c r="O172" t="s">
        <v>69</v>
      </c>
      <c r="P172">
        <v>1</v>
      </c>
      <c r="Q172" t="s">
        <v>26</v>
      </c>
      <c r="R172" s="1">
        <v>19.940000000000001</v>
      </c>
      <c r="S172" s="1">
        <v>14.9670319587477</v>
      </c>
      <c r="T172" s="1">
        <v>25.0549447232722</v>
      </c>
      <c r="U172" s="1" t="s">
        <v>24</v>
      </c>
      <c r="V172" s="1" t="s">
        <v>24</v>
      </c>
      <c r="W172" s="4" t="s">
        <v>24</v>
      </c>
      <c r="X172" s="1" t="s">
        <v>24</v>
      </c>
      <c r="Y172" s="1" t="s">
        <v>24</v>
      </c>
      <c r="Z172" s="4" t="s">
        <v>24</v>
      </c>
      <c r="AA172" s="1" t="s">
        <v>24</v>
      </c>
      <c r="AB172" s="1" t="s">
        <v>24</v>
      </c>
      <c r="AC172" s="4" t="s">
        <v>24</v>
      </c>
      <c r="AD172" t="s">
        <v>25</v>
      </c>
    </row>
    <row r="173" spans="1:30" hidden="1" x14ac:dyDescent="0.35">
      <c r="A173" t="s">
        <v>66</v>
      </c>
      <c r="B173" t="s">
        <v>32</v>
      </c>
      <c r="C173" t="s">
        <v>42</v>
      </c>
      <c r="D173">
        <v>0.26</v>
      </c>
      <c r="E173">
        <v>5</v>
      </c>
      <c r="F173" t="s">
        <v>22</v>
      </c>
      <c r="G173" t="s">
        <v>29</v>
      </c>
      <c r="H173" t="s">
        <v>67</v>
      </c>
      <c r="I173">
        <v>1</v>
      </c>
      <c r="J173" t="s">
        <v>24</v>
      </c>
      <c r="K173" s="2" t="s">
        <v>24</v>
      </c>
      <c r="L173" t="s">
        <v>24</v>
      </c>
      <c r="M173" t="s">
        <v>24</v>
      </c>
      <c r="N173" t="s">
        <v>24</v>
      </c>
      <c r="O173" t="s">
        <v>69</v>
      </c>
      <c r="P173">
        <v>4</v>
      </c>
      <c r="Q173" t="s">
        <v>26</v>
      </c>
      <c r="R173" s="1">
        <v>23.87</v>
      </c>
      <c r="S173" s="1">
        <v>19.252747537985801</v>
      </c>
      <c r="T173" s="1">
        <v>28.5494514582339</v>
      </c>
      <c r="U173" s="1" t="s">
        <v>24</v>
      </c>
      <c r="V173" s="1" t="s">
        <v>24</v>
      </c>
      <c r="W173" s="4" t="s">
        <v>24</v>
      </c>
      <c r="X173" s="1" t="s">
        <v>24</v>
      </c>
      <c r="Y173" s="1" t="s">
        <v>24</v>
      </c>
      <c r="Z173" s="4" t="s">
        <v>24</v>
      </c>
      <c r="AA173" s="1" t="s">
        <v>24</v>
      </c>
      <c r="AB173" s="1" t="s">
        <v>24</v>
      </c>
      <c r="AC173" s="4" t="s">
        <v>24</v>
      </c>
      <c r="AD173" t="s">
        <v>25</v>
      </c>
    </row>
    <row r="174" spans="1:30" hidden="1" x14ac:dyDescent="0.35">
      <c r="A174" t="s">
        <v>66</v>
      </c>
      <c r="B174" t="s">
        <v>32</v>
      </c>
      <c r="C174" t="s">
        <v>42</v>
      </c>
      <c r="D174">
        <v>0.26</v>
      </c>
      <c r="E174">
        <v>5</v>
      </c>
      <c r="F174" t="s">
        <v>22</v>
      </c>
      <c r="G174" t="s">
        <v>29</v>
      </c>
      <c r="H174" t="s">
        <v>67</v>
      </c>
      <c r="I174">
        <v>1</v>
      </c>
      <c r="J174" t="s">
        <v>24</v>
      </c>
      <c r="K174" s="2" t="s">
        <v>24</v>
      </c>
      <c r="L174" t="s">
        <v>24</v>
      </c>
      <c r="M174" t="s">
        <v>24</v>
      </c>
      <c r="N174" t="s">
        <v>24</v>
      </c>
      <c r="O174" t="s">
        <v>69</v>
      </c>
      <c r="P174">
        <v>8</v>
      </c>
      <c r="Q174" t="s">
        <v>26</v>
      </c>
      <c r="R174" s="1">
        <v>8.0299999999999994</v>
      </c>
      <c r="S174" s="1">
        <v>6.1318685431423603</v>
      </c>
      <c r="T174" s="1">
        <v>10.879121608800901</v>
      </c>
      <c r="U174" s="1" t="s">
        <v>24</v>
      </c>
      <c r="V174" s="1" t="s">
        <v>24</v>
      </c>
      <c r="W174" s="4" t="s">
        <v>24</v>
      </c>
      <c r="X174" s="1" t="s">
        <v>24</v>
      </c>
      <c r="Y174" s="1" t="s">
        <v>24</v>
      </c>
      <c r="Z174" s="4" t="s">
        <v>24</v>
      </c>
      <c r="AA174" s="1" t="s">
        <v>24</v>
      </c>
      <c r="AB174" s="1" t="s">
        <v>24</v>
      </c>
      <c r="AC174" s="4" t="s">
        <v>24</v>
      </c>
      <c r="AD174" t="s">
        <v>25</v>
      </c>
    </row>
    <row r="175" spans="1:30" hidden="1" x14ac:dyDescent="0.35">
      <c r="A175" t="s">
        <v>66</v>
      </c>
      <c r="B175" t="s">
        <v>32</v>
      </c>
      <c r="C175" t="s">
        <v>42</v>
      </c>
      <c r="D175">
        <v>0.26</v>
      </c>
      <c r="E175">
        <v>5</v>
      </c>
      <c r="F175" t="s">
        <v>22</v>
      </c>
      <c r="G175" t="s">
        <v>29</v>
      </c>
      <c r="H175" t="s">
        <v>67</v>
      </c>
      <c r="I175">
        <v>1</v>
      </c>
      <c r="J175" t="s">
        <v>24</v>
      </c>
      <c r="K175" s="2" t="s">
        <v>24</v>
      </c>
      <c r="L175" t="s">
        <v>24</v>
      </c>
      <c r="M175" t="s">
        <v>24</v>
      </c>
      <c r="N175" t="s">
        <v>24</v>
      </c>
      <c r="O175" t="s">
        <v>69</v>
      </c>
      <c r="P175">
        <v>24</v>
      </c>
      <c r="Q175" t="s">
        <v>26</v>
      </c>
      <c r="R175" s="1">
        <v>4.1900000000000004</v>
      </c>
      <c r="S175" s="1">
        <v>1.84614994568206</v>
      </c>
      <c r="T175" s="1">
        <v>6.5934030113406603</v>
      </c>
      <c r="U175" s="1" t="s">
        <v>24</v>
      </c>
      <c r="V175" s="1" t="s">
        <v>24</v>
      </c>
      <c r="W175" s="4" t="s">
        <v>24</v>
      </c>
      <c r="X175" s="1" t="s">
        <v>24</v>
      </c>
      <c r="Y175" s="1" t="s">
        <v>24</v>
      </c>
      <c r="Z175" s="4" t="s">
        <v>24</v>
      </c>
      <c r="AA175" s="1" t="s">
        <v>24</v>
      </c>
      <c r="AB175" s="1" t="s">
        <v>24</v>
      </c>
      <c r="AC175" s="4" t="s">
        <v>24</v>
      </c>
      <c r="AD175" t="s">
        <v>25</v>
      </c>
    </row>
    <row r="176" spans="1:30" hidden="1" x14ac:dyDescent="0.35">
      <c r="A176" t="s">
        <v>66</v>
      </c>
      <c r="B176" t="s">
        <v>32</v>
      </c>
      <c r="C176" t="s">
        <v>28</v>
      </c>
      <c r="D176">
        <v>0.26</v>
      </c>
      <c r="E176">
        <v>5</v>
      </c>
      <c r="F176" t="s">
        <v>22</v>
      </c>
      <c r="G176" t="s">
        <v>29</v>
      </c>
      <c r="H176" t="s">
        <v>67</v>
      </c>
      <c r="I176">
        <v>1</v>
      </c>
      <c r="J176" t="s">
        <v>24</v>
      </c>
      <c r="K176" s="2" t="s">
        <v>24</v>
      </c>
      <c r="L176" t="s">
        <v>24</v>
      </c>
      <c r="M176" t="s">
        <v>24</v>
      </c>
      <c r="N176" t="s">
        <v>24</v>
      </c>
      <c r="O176" t="s">
        <v>69</v>
      </c>
      <c r="P176">
        <v>0.5</v>
      </c>
      <c r="Q176" t="s">
        <v>26</v>
      </c>
      <c r="R176" s="1">
        <v>26.44</v>
      </c>
      <c r="S176" s="1">
        <v>25.186813870059002</v>
      </c>
      <c r="T176" s="1">
        <v>27.824175678239801</v>
      </c>
      <c r="U176" s="1" t="s">
        <v>24</v>
      </c>
      <c r="V176" s="1" t="s">
        <v>24</v>
      </c>
      <c r="W176" s="4" t="s">
        <v>24</v>
      </c>
      <c r="X176" s="1" t="s">
        <v>24</v>
      </c>
      <c r="Y176" s="1" t="s">
        <v>24</v>
      </c>
      <c r="Z176" s="4" t="s">
        <v>24</v>
      </c>
      <c r="AA176" s="1" t="s">
        <v>24</v>
      </c>
      <c r="AB176" s="1" t="s">
        <v>24</v>
      </c>
      <c r="AC176" s="4" t="s">
        <v>24</v>
      </c>
      <c r="AD176" t="s">
        <v>25</v>
      </c>
    </row>
    <row r="177" spans="1:30" hidden="1" x14ac:dyDescent="0.35">
      <c r="A177" t="s">
        <v>66</v>
      </c>
      <c r="B177" t="s">
        <v>32</v>
      </c>
      <c r="C177" t="s">
        <v>28</v>
      </c>
      <c r="D177">
        <v>0.26</v>
      </c>
      <c r="E177">
        <v>5</v>
      </c>
      <c r="F177" t="s">
        <v>22</v>
      </c>
      <c r="G177" t="s">
        <v>29</v>
      </c>
      <c r="H177" t="s">
        <v>67</v>
      </c>
      <c r="I177">
        <v>1</v>
      </c>
      <c r="J177" t="s">
        <v>24</v>
      </c>
      <c r="K177" s="2" t="s">
        <v>24</v>
      </c>
      <c r="L177" t="s">
        <v>24</v>
      </c>
      <c r="M177" t="s">
        <v>24</v>
      </c>
      <c r="N177" t="s">
        <v>24</v>
      </c>
      <c r="O177" t="s">
        <v>69</v>
      </c>
      <c r="P177">
        <v>0.7</v>
      </c>
      <c r="Q177" t="s">
        <v>26</v>
      </c>
      <c r="R177" s="1">
        <v>11.57</v>
      </c>
      <c r="S177" s="1">
        <v>10.285714975593599</v>
      </c>
      <c r="T177" s="1">
        <v>13.9780209034022</v>
      </c>
      <c r="U177" s="1" t="s">
        <v>24</v>
      </c>
      <c r="V177" s="1" t="s">
        <v>24</v>
      </c>
      <c r="W177" s="4" t="s">
        <v>24</v>
      </c>
      <c r="X177" s="1" t="s">
        <v>24</v>
      </c>
      <c r="Y177" s="1" t="s">
        <v>24</v>
      </c>
      <c r="Z177" s="4" t="s">
        <v>24</v>
      </c>
      <c r="AA177" s="1" t="s">
        <v>24</v>
      </c>
      <c r="AB177" s="1" t="s">
        <v>24</v>
      </c>
      <c r="AC177" s="4" t="s">
        <v>24</v>
      </c>
      <c r="AD177" t="s">
        <v>25</v>
      </c>
    </row>
    <row r="178" spans="1:30" hidden="1" x14ac:dyDescent="0.35">
      <c r="A178" t="s">
        <v>66</v>
      </c>
      <c r="B178" t="s">
        <v>32</v>
      </c>
      <c r="C178" t="s">
        <v>28</v>
      </c>
      <c r="D178">
        <v>0.26</v>
      </c>
      <c r="E178">
        <v>5</v>
      </c>
      <c r="F178" t="s">
        <v>22</v>
      </c>
      <c r="G178" t="s">
        <v>29</v>
      </c>
      <c r="H178" t="s">
        <v>67</v>
      </c>
      <c r="I178">
        <v>1</v>
      </c>
      <c r="J178" t="s">
        <v>24</v>
      </c>
      <c r="K178" s="2" t="s">
        <v>24</v>
      </c>
      <c r="L178" t="s">
        <v>24</v>
      </c>
      <c r="M178" t="s">
        <v>24</v>
      </c>
      <c r="N178" t="s">
        <v>24</v>
      </c>
      <c r="O178" t="s">
        <v>69</v>
      </c>
      <c r="P178">
        <v>1</v>
      </c>
      <c r="Q178" t="s">
        <v>26</v>
      </c>
      <c r="R178" s="1">
        <v>8.57</v>
      </c>
      <c r="S178" s="1">
        <v>6.9230773874188003</v>
      </c>
      <c r="T178" s="1">
        <v>9.7582414066686205</v>
      </c>
      <c r="U178" s="1" t="s">
        <v>24</v>
      </c>
      <c r="V178" s="1" t="s">
        <v>24</v>
      </c>
      <c r="W178" s="4" t="s">
        <v>24</v>
      </c>
      <c r="X178" s="1" t="s">
        <v>24</v>
      </c>
      <c r="Y178" s="1" t="s">
        <v>24</v>
      </c>
      <c r="Z178" s="4" t="s">
        <v>24</v>
      </c>
      <c r="AA178" s="1" t="s">
        <v>24</v>
      </c>
      <c r="AB178" s="1" t="s">
        <v>24</v>
      </c>
      <c r="AC178" s="4" t="s">
        <v>24</v>
      </c>
      <c r="AD178" t="s">
        <v>25</v>
      </c>
    </row>
    <row r="179" spans="1:30" hidden="1" x14ac:dyDescent="0.35">
      <c r="A179" t="s">
        <v>66</v>
      </c>
      <c r="B179" t="s">
        <v>32</v>
      </c>
      <c r="C179" t="s">
        <v>28</v>
      </c>
      <c r="D179">
        <v>0.26</v>
      </c>
      <c r="E179">
        <v>5</v>
      </c>
      <c r="F179" t="s">
        <v>22</v>
      </c>
      <c r="G179" t="s">
        <v>29</v>
      </c>
      <c r="H179" t="s">
        <v>67</v>
      </c>
      <c r="I179">
        <v>1</v>
      </c>
      <c r="J179" t="s">
        <v>24</v>
      </c>
      <c r="K179" s="2" t="s">
        <v>24</v>
      </c>
      <c r="L179" t="s">
        <v>24</v>
      </c>
      <c r="M179" t="s">
        <v>24</v>
      </c>
      <c r="N179" t="s">
        <v>24</v>
      </c>
      <c r="O179" t="s">
        <v>69</v>
      </c>
      <c r="P179">
        <v>4</v>
      </c>
      <c r="Q179" t="s">
        <v>26</v>
      </c>
      <c r="R179" s="1">
        <v>16.39</v>
      </c>
      <c r="S179" s="1">
        <v>12.5934054259184</v>
      </c>
      <c r="T179" s="1">
        <v>17.406594574081499</v>
      </c>
      <c r="U179" s="1" t="s">
        <v>24</v>
      </c>
      <c r="V179" s="1" t="s">
        <v>24</v>
      </c>
      <c r="W179" s="4" t="s">
        <v>24</v>
      </c>
      <c r="X179" s="1" t="s">
        <v>24</v>
      </c>
      <c r="Y179" s="1" t="s">
        <v>24</v>
      </c>
      <c r="Z179" s="4" t="s">
        <v>24</v>
      </c>
      <c r="AA179" s="1" t="s">
        <v>24</v>
      </c>
      <c r="AB179" s="1" t="s">
        <v>24</v>
      </c>
      <c r="AC179" s="4" t="s">
        <v>24</v>
      </c>
      <c r="AD179" t="s">
        <v>25</v>
      </c>
    </row>
    <row r="180" spans="1:30" hidden="1" x14ac:dyDescent="0.35">
      <c r="A180" t="s">
        <v>66</v>
      </c>
      <c r="B180" t="s">
        <v>32</v>
      </c>
      <c r="C180" t="s">
        <v>28</v>
      </c>
      <c r="D180">
        <v>0.26</v>
      </c>
      <c r="E180">
        <v>5</v>
      </c>
      <c r="F180" t="s">
        <v>22</v>
      </c>
      <c r="G180" t="s">
        <v>29</v>
      </c>
      <c r="H180" t="s">
        <v>67</v>
      </c>
      <c r="I180">
        <v>1</v>
      </c>
      <c r="J180" t="s">
        <v>24</v>
      </c>
      <c r="K180" s="2" t="s">
        <v>24</v>
      </c>
      <c r="L180" t="s">
        <v>24</v>
      </c>
      <c r="M180" t="s">
        <v>24</v>
      </c>
      <c r="N180" t="s">
        <v>24</v>
      </c>
      <c r="O180" t="s">
        <v>69</v>
      </c>
      <c r="P180">
        <v>8</v>
      </c>
      <c r="Q180" t="s">
        <v>26</v>
      </c>
      <c r="R180" s="1">
        <v>5.09</v>
      </c>
      <c r="S180" s="1">
        <v>4.0879103499467604</v>
      </c>
      <c r="T180" s="1">
        <v>6.1977985892024501</v>
      </c>
      <c r="U180" s="1" t="s">
        <v>24</v>
      </c>
      <c r="V180" s="1" t="s">
        <v>24</v>
      </c>
      <c r="W180" s="4" t="s">
        <v>24</v>
      </c>
      <c r="X180" s="1" t="s">
        <v>24</v>
      </c>
      <c r="Y180" s="1" t="s">
        <v>24</v>
      </c>
      <c r="Z180" s="4" t="s">
        <v>24</v>
      </c>
      <c r="AA180" s="1" t="s">
        <v>24</v>
      </c>
      <c r="AB180" s="1" t="s">
        <v>24</v>
      </c>
      <c r="AC180" s="4" t="s">
        <v>24</v>
      </c>
      <c r="AD180" t="s">
        <v>25</v>
      </c>
    </row>
    <row r="181" spans="1:30" hidden="1" x14ac:dyDescent="0.35">
      <c r="A181" t="s">
        <v>66</v>
      </c>
      <c r="B181" t="s">
        <v>32</v>
      </c>
      <c r="C181" t="s">
        <v>28</v>
      </c>
      <c r="D181">
        <v>0.26</v>
      </c>
      <c r="E181">
        <v>5</v>
      </c>
      <c r="F181" t="s">
        <v>22</v>
      </c>
      <c r="G181" t="s">
        <v>29</v>
      </c>
      <c r="H181" t="s">
        <v>67</v>
      </c>
      <c r="I181">
        <v>1</v>
      </c>
      <c r="J181" t="s">
        <v>24</v>
      </c>
      <c r="K181" s="2" t="s">
        <v>24</v>
      </c>
      <c r="L181" t="s">
        <v>24</v>
      </c>
      <c r="M181" t="s">
        <v>24</v>
      </c>
      <c r="N181" t="s">
        <v>24</v>
      </c>
      <c r="O181" t="s">
        <v>69</v>
      </c>
      <c r="P181">
        <v>24</v>
      </c>
      <c r="Q181" t="s">
        <v>26</v>
      </c>
      <c r="R181" s="1">
        <v>0.88</v>
      </c>
      <c r="S181" s="1">
        <v>0.52747055070281301</v>
      </c>
      <c r="T181" s="1">
        <v>2.24175436782027</v>
      </c>
      <c r="U181" s="1" t="s">
        <v>24</v>
      </c>
      <c r="V181" s="1" t="s">
        <v>24</v>
      </c>
      <c r="W181" s="4" t="s">
        <v>24</v>
      </c>
      <c r="X181" s="1" t="s">
        <v>24</v>
      </c>
      <c r="Y181" s="1" t="s">
        <v>24</v>
      </c>
      <c r="Z181" s="4" t="s">
        <v>24</v>
      </c>
      <c r="AA181" s="1" t="s">
        <v>24</v>
      </c>
      <c r="AB181" s="1" t="s">
        <v>24</v>
      </c>
      <c r="AC181" s="4" t="s">
        <v>24</v>
      </c>
      <c r="AD181" t="s">
        <v>25</v>
      </c>
    </row>
    <row r="182" spans="1:30" hidden="1" x14ac:dyDescent="0.35">
      <c r="A182" t="s">
        <v>66</v>
      </c>
      <c r="B182" t="s">
        <v>32</v>
      </c>
      <c r="C182" t="s">
        <v>42</v>
      </c>
      <c r="D182">
        <v>0.26</v>
      </c>
      <c r="E182">
        <v>5</v>
      </c>
      <c r="F182" t="s">
        <v>22</v>
      </c>
      <c r="G182" t="s">
        <v>29</v>
      </c>
      <c r="H182" t="s">
        <v>67</v>
      </c>
      <c r="I182">
        <v>1</v>
      </c>
      <c r="J182" t="s">
        <v>24</v>
      </c>
      <c r="K182" s="2" t="s">
        <v>24</v>
      </c>
      <c r="L182" t="s">
        <v>24</v>
      </c>
      <c r="M182" t="s">
        <v>24</v>
      </c>
      <c r="N182" t="s">
        <v>24</v>
      </c>
      <c r="O182" t="s">
        <v>22</v>
      </c>
      <c r="P182">
        <v>0.5</v>
      </c>
      <c r="Q182" t="s">
        <v>39</v>
      </c>
      <c r="R182" s="1">
        <v>9.7100000000000009</v>
      </c>
      <c r="S182" s="1">
        <v>9.7100000000000009</v>
      </c>
      <c r="T182" s="1">
        <v>9.7100000000000009</v>
      </c>
      <c r="U182" s="1" t="s">
        <v>24</v>
      </c>
      <c r="V182" s="1" t="s">
        <v>24</v>
      </c>
      <c r="W182" s="4" t="s">
        <v>24</v>
      </c>
      <c r="X182" s="1" t="s">
        <v>24</v>
      </c>
      <c r="Y182" s="1" t="s">
        <v>24</v>
      </c>
      <c r="Z182" s="4" t="s">
        <v>24</v>
      </c>
      <c r="AA182" s="1" t="s">
        <v>24</v>
      </c>
      <c r="AB182" s="1" t="s">
        <v>24</v>
      </c>
      <c r="AC182" s="4" t="s">
        <v>24</v>
      </c>
      <c r="AD182" t="s">
        <v>25</v>
      </c>
    </row>
    <row r="183" spans="1:30" hidden="1" x14ac:dyDescent="0.35">
      <c r="A183" t="s">
        <v>66</v>
      </c>
      <c r="B183" t="s">
        <v>32</v>
      </c>
      <c r="C183" t="s">
        <v>42</v>
      </c>
      <c r="D183">
        <v>0.26</v>
      </c>
      <c r="E183">
        <v>5</v>
      </c>
      <c r="F183" t="s">
        <v>22</v>
      </c>
      <c r="G183" t="s">
        <v>29</v>
      </c>
      <c r="H183" t="s">
        <v>67</v>
      </c>
      <c r="I183">
        <v>1</v>
      </c>
      <c r="J183" t="s">
        <v>24</v>
      </c>
      <c r="K183" s="2" t="s">
        <v>24</v>
      </c>
      <c r="L183" t="s">
        <v>24</v>
      </c>
      <c r="M183" t="s">
        <v>24</v>
      </c>
      <c r="N183" t="s">
        <v>24</v>
      </c>
      <c r="O183" t="s">
        <v>22</v>
      </c>
      <c r="P183">
        <v>0.7</v>
      </c>
      <c r="Q183" t="s">
        <v>39</v>
      </c>
      <c r="R183" s="1">
        <v>5.95</v>
      </c>
      <c r="S183" s="1">
        <v>4.59</v>
      </c>
      <c r="T183" s="1">
        <v>7.31</v>
      </c>
      <c r="U183" s="1" t="s">
        <v>24</v>
      </c>
      <c r="V183" s="1" t="s">
        <v>24</v>
      </c>
      <c r="W183" s="4" t="s">
        <v>24</v>
      </c>
      <c r="X183" s="1" t="s">
        <v>24</v>
      </c>
      <c r="Y183" s="1" t="s">
        <v>24</v>
      </c>
      <c r="Z183" s="4" t="s">
        <v>24</v>
      </c>
      <c r="AA183" s="1" t="s">
        <v>24</v>
      </c>
      <c r="AB183" s="1" t="s">
        <v>24</v>
      </c>
      <c r="AC183" s="4" t="s">
        <v>24</v>
      </c>
      <c r="AD183" t="s">
        <v>25</v>
      </c>
    </row>
    <row r="184" spans="1:30" hidden="1" x14ac:dyDescent="0.35">
      <c r="A184" t="s">
        <v>66</v>
      </c>
      <c r="B184" t="s">
        <v>32</v>
      </c>
      <c r="C184" t="s">
        <v>42</v>
      </c>
      <c r="D184">
        <v>0.26</v>
      </c>
      <c r="E184">
        <v>5</v>
      </c>
      <c r="F184" t="s">
        <v>22</v>
      </c>
      <c r="G184" t="s">
        <v>29</v>
      </c>
      <c r="H184" t="s">
        <v>67</v>
      </c>
      <c r="I184">
        <v>1</v>
      </c>
      <c r="J184" t="s">
        <v>24</v>
      </c>
      <c r="K184" s="2" t="s">
        <v>24</v>
      </c>
      <c r="L184" t="s">
        <v>24</v>
      </c>
      <c r="M184" t="s">
        <v>24</v>
      </c>
      <c r="N184" t="s">
        <v>24</v>
      </c>
      <c r="O184" t="s">
        <v>22</v>
      </c>
      <c r="P184">
        <v>1</v>
      </c>
      <c r="Q184" t="s">
        <v>39</v>
      </c>
      <c r="R184" s="1">
        <v>7.2</v>
      </c>
      <c r="S184" s="1">
        <v>5.43</v>
      </c>
      <c r="T184" s="1">
        <v>9.5500000000000007</v>
      </c>
      <c r="U184" s="1" t="s">
        <v>24</v>
      </c>
      <c r="V184" s="1" t="s">
        <v>24</v>
      </c>
      <c r="W184" s="4" t="s">
        <v>24</v>
      </c>
      <c r="X184" s="1" t="s">
        <v>24</v>
      </c>
      <c r="Y184" s="1" t="s">
        <v>24</v>
      </c>
      <c r="Z184" s="4" t="s">
        <v>24</v>
      </c>
      <c r="AA184" s="1" t="s">
        <v>24</v>
      </c>
      <c r="AB184" s="1" t="s">
        <v>24</v>
      </c>
      <c r="AC184" s="4" t="s">
        <v>24</v>
      </c>
      <c r="AD184" t="s">
        <v>25</v>
      </c>
    </row>
    <row r="185" spans="1:30" hidden="1" x14ac:dyDescent="0.35">
      <c r="A185" t="s">
        <v>66</v>
      </c>
      <c r="B185" t="s">
        <v>32</v>
      </c>
      <c r="C185" t="s">
        <v>42</v>
      </c>
      <c r="D185">
        <v>0.26</v>
      </c>
      <c r="E185">
        <v>5</v>
      </c>
      <c r="F185" t="s">
        <v>22</v>
      </c>
      <c r="G185" t="s">
        <v>29</v>
      </c>
      <c r="H185" t="s">
        <v>67</v>
      </c>
      <c r="I185">
        <v>1</v>
      </c>
      <c r="J185" t="s">
        <v>24</v>
      </c>
      <c r="K185" s="2" t="s">
        <v>24</v>
      </c>
      <c r="L185" t="s">
        <v>24</v>
      </c>
      <c r="M185" t="s">
        <v>24</v>
      </c>
      <c r="N185" t="s">
        <v>24</v>
      </c>
      <c r="O185" t="s">
        <v>22</v>
      </c>
      <c r="P185">
        <v>4</v>
      </c>
      <c r="Q185" t="s">
        <v>39</v>
      </c>
      <c r="R185" s="1">
        <v>13.78</v>
      </c>
      <c r="S185" s="1">
        <v>12.2</v>
      </c>
      <c r="T185" s="1">
        <v>15.56</v>
      </c>
      <c r="U185" s="1" t="s">
        <v>24</v>
      </c>
      <c r="V185" s="1" t="s">
        <v>24</v>
      </c>
      <c r="W185" s="4" t="s">
        <v>24</v>
      </c>
      <c r="X185" s="1" t="s">
        <v>24</v>
      </c>
      <c r="Y185" s="1" t="s">
        <v>24</v>
      </c>
      <c r="Z185" s="4" t="s">
        <v>24</v>
      </c>
      <c r="AA185" s="1" t="s">
        <v>24</v>
      </c>
      <c r="AB185" s="1" t="s">
        <v>24</v>
      </c>
      <c r="AC185" s="4" t="s">
        <v>24</v>
      </c>
      <c r="AD185" t="s">
        <v>25</v>
      </c>
    </row>
    <row r="186" spans="1:30" hidden="1" x14ac:dyDescent="0.35">
      <c r="A186" t="s">
        <v>66</v>
      </c>
      <c r="B186" t="s">
        <v>32</v>
      </c>
      <c r="C186" t="s">
        <v>42</v>
      </c>
      <c r="D186">
        <v>0.26</v>
      </c>
      <c r="E186">
        <v>5</v>
      </c>
      <c r="F186" t="s">
        <v>22</v>
      </c>
      <c r="G186" t="s">
        <v>29</v>
      </c>
      <c r="H186" t="s">
        <v>67</v>
      </c>
      <c r="I186">
        <v>1</v>
      </c>
      <c r="J186" t="s">
        <v>24</v>
      </c>
      <c r="K186" s="2" t="s">
        <v>24</v>
      </c>
      <c r="L186" t="s">
        <v>24</v>
      </c>
      <c r="M186" t="s">
        <v>24</v>
      </c>
      <c r="N186" t="s">
        <v>24</v>
      </c>
      <c r="O186" t="s">
        <v>22</v>
      </c>
      <c r="P186">
        <v>8</v>
      </c>
      <c r="Q186" t="s">
        <v>39</v>
      </c>
      <c r="R186" s="1">
        <v>5.95</v>
      </c>
      <c r="S186" s="1">
        <v>4.28</v>
      </c>
      <c r="T186" s="1">
        <v>7.41</v>
      </c>
      <c r="U186" s="1" t="s">
        <v>24</v>
      </c>
      <c r="V186" s="1" t="s">
        <v>24</v>
      </c>
      <c r="W186" s="4" t="s">
        <v>24</v>
      </c>
      <c r="X186" s="1" t="s">
        <v>24</v>
      </c>
      <c r="Y186" s="1" t="s">
        <v>24</v>
      </c>
      <c r="Z186" s="4" t="s">
        <v>24</v>
      </c>
      <c r="AA186" s="1" t="s">
        <v>24</v>
      </c>
      <c r="AB186" s="1" t="s">
        <v>24</v>
      </c>
      <c r="AC186" s="4" t="s">
        <v>24</v>
      </c>
      <c r="AD186" t="s">
        <v>25</v>
      </c>
    </row>
    <row r="187" spans="1:30" hidden="1" x14ac:dyDescent="0.35">
      <c r="A187" t="s">
        <v>66</v>
      </c>
      <c r="B187" t="s">
        <v>32</v>
      </c>
      <c r="C187" t="s">
        <v>42</v>
      </c>
      <c r="D187">
        <v>0.26</v>
      </c>
      <c r="E187">
        <v>5</v>
      </c>
      <c r="F187" t="s">
        <v>22</v>
      </c>
      <c r="G187" t="s">
        <v>29</v>
      </c>
      <c r="H187" t="s">
        <v>67</v>
      </c>
      <c r="I187">
        <v>1</v>
      </c>
      <c r="J187" t="s">
        <v>24</v>
      </c>
      <c r="K187" s="2" t="s">
        <v>24</v>
      </c>
      <c r="L187" t="s">
        <v>24</v>
      </c>
      <c r="M187" t="s">
        <v>24</v>
      </c>
      <c r="N187" t="s">
        <v>24</v>
      </c>
      <c r="O187" t="s">
        <v>22</v>
      </c>
      <c r="P187">
        <v>24</v>
      </c>
      <c r="Q187" t="s">
        <v>39</v>
      </c>
      <c r="R187" s="1">
        <v>1.56</v>
      </c>
      <c r="S187" s="1">
        <v>1.1100000000000001</v>
      </c>
      <c r="T187" s="1">
        <v>2.19</v>
      </c>
      <c r="U187" s="1" t="s">
        <v>24</v>
      </c>
      <c r="V187" s="1" t="s">
        <v>24</v>
      </c>
      <c r="W187" s="4" t="s">
        <v>24</v>
      </c>
      <c r="X187" s="1" t="s">
        <v>24</v>
      </c>
      <c r="Y187" s="1" t="s">
        <v>24</v>
      </c>
      <c r="Z187" s="4" t="s">
        <v>24</v>
      </c>
      <c r="AA187" s="1" t="s">
        <v>24</v>
      </c>
      <c r="AB187" s="1" t="s">
        <v>24</v>
      </c>
      <c r="AC187" s="4" t="s">
        <v>24</v>
      </c>
      <c r="AD187" t="s">
        <v>25</v>
      </c>
    </row>
    <row r="188" spans="1:30" hidden="1" x14ac:dyDescent="0.35">
      <c r="A188" t="s">
        <v>66</v>
      </c>
      <c r="B188" t="s">
        <v>32</v>
      </c>
      <c r="C188" t="s">
        <v>28</v>
      </c>
      <c r="D188">
        <v>0.26</v>
      </c>
      <c r="E188">
        <v>5</v>
      </c>
      <c r="F188" t="s">
        <v>22</v>
      </c>
      <c r="G188" t="s">
        <v>29</v>
      </c>
      <c r="H188" t="s">
        <v>67</v>
      </c>
      <c r="I188">
        <v>1</v>
      </c>
      <c r="J188" t="s">
        <v>24</v>
      </c>
      <c r="K188" s="2" t="s">
        <v>24</v>
      </c>
      <c r="L188" t="s">
        <v>24</v>
      </c>
      <c r="M188" t="s">
        <v>24</v>
      </c>
      <c r="N188" t="s">
        <v>24</v>
      </c>
      <c r="O188" t="s">
        <v>22</v>
      </c>
      <c r="P188">
        <v>0.5</v>
      </c>
      <c r="Q188" t="s">
        <v>39</v>
      </c>
      <c r="R188" s="1">
        <v>19.940000000000001</v>
      </c>
      <c r="S188" s="1">
        <v>11.38</v>
      </c>
      <c r="T188" s="1">
        <v>26.84</v>
      </c>
      <c r="U188" s="1" t="s">
        <v>24</v>
      </c>
      <c r="V188" s="1" t="s">
        <v>24</v>
      </c>
      <c r="W188" s="4" t="s">
        <v>24</v>
      </c>
      <c r="X188" s="1" t="s">
        <v>24</v>
      </c>
      <c r="Y188" s="1" t="s">
        <v>24</v>
      </c>
      <c r="Z188" s="4" t="s">
        <v>24</v>
      </c>
      <c r="AA188" s="1" t="s">
        <v>24</v>
      </c>
      <c r="AB188" s="1" t="s">
        <v>24</v>
      </c>
      <c r="AC188" s="4" t="s">
        <v>24</v>
      </c>
      <c r="AD188" t="s">
        <v>25</v>
      </c>
    </row>
    <row r="189" spans="1:30" hidden="1" x14ac:dyDescent="0.35">
      <c r="A189" t="s">
        <v>66</v>
      </c>
      <c r="B189" t="s">
        <v>32</v>
      </c>
      <c r="C189" t="s">
        <v>28</v>
      </c>
      <c r="D189">
        <v>0.26</v>
      </c>
      <c r="E189">
        <v>5</v>
      </c>
      <c r="F189" t="s">
        <v>22</v>
      </c>
      <c r="G189" t="s">
        <v>29</v>
      </c>
      <c r="H189" t="s">
        <v>67</v>
      </c>
      <c r="I189">
        <v>1</v>
      </c>
      <c r="J189" t="s">
        <v>24</v>
      </c>
      <c r="K189" s="2" t="s">
        <v>24</v>
      </c>
      <c r="L189" t="s">
        <v>24</v>
      </c>
      <c r="M189" t="s">
        <v>24</v>
      </c>
      <c r="N189" t="s">
        <v>24</v>
      </c>
      <c r="O189" t="s">
        <v>22</v>
      </c>
      <c r="P189">
        <v>0.7</v>
      </c>
      <c r="Q189" t="s">
        <v>39</v>
      </c>
      <c r="R189" s="1">
        <v>8.98</v>
      </c>
      <c r="S189" s="1">
        <v>7.21</v>
      </c>
      <c r="T189" s="1">
        <v>11.14</v>
      </c>
      <c r="U189" s="1" t="s">
        <v>24</v>
      </c>
      <c r="V189" s="1" t="s">
        <v>24</v>
      </c>
      <c r="W189" s="4" t="s">
        <v>24</v>
      </c>
      <c r="X189" s="1" t="s">
        <v>24</v>
      </c>
      <c r="Y189" s="1" t="s">
        <v>24</v>
      </c>
      <c r="Z189" s="4" t="s">
        <v>24</v>
      </c>
      <c r="AA189" s="1" t="s">
        <v>24</v>
      </c>
      <c r="AB189" s="1" t="s">
        <v>24</v>
      </c>
      <c r="AC189" s="4" t="s">
        <v>24</v>
      </c>
      <c r="AD189" t="s">
        <v>25</v>
      </c>
    </row>
    <row r="190" spans="1:30" hidden="1" x14ac:dyDescent="0.35">
      <c r="A190" t="s">
        <v>66</v>
      </c>
      <c r="B190" t="s">
        <v>32</v>
      </c>
      <c r="C190" t="s">
        <v>28</v>
      </c>
      <c r="D190">
        <v>0.26</v>
      </c>
      <c r="E190">
        <v>5</v>
      </c>
      <c r="F190" t="s">
        <v>22</v>
      </c>
      <c r="G190" t="s">
        <v>29</v>
      </c>
      <c r="H190" t="s">
        <v>67</v>
      </c>
      <c r="I190">
        <v>1</v>
      </c>
      <c r="J190" t="s">
        <v>24</v>
      </c>
      <c r="K190" s="2" t="s">
        <v>24</v>
      </c>
      <c r="L190" t="s">
        <v>24</v>
      </c>
      <c r="M190" t="s">
        <v>24</v>
      </c>
      <c r="N190" t="s">
        <v>24</v>
      </c>
      <c r="O190" t="s">
        <v>22</v>
      </c>
      <c r="P190">
        <v>1</v>
      </c>
      <c r="Q190" t="s">
        <v>39</v>
      </c>
      <c r="R190" s="1">
        <v>7.93</v>
      </c>
      <c r="S190" s="1">
        <v>6.16</v>
      </c>
      <c r="T190" s="1">
        <v>9.2899999999999991</v>
      </c>
      <c r="U190" s="1" t="s">
        <v>24</v>
      </c>
      <c r="V190" s="1" t="s">
        <v>24</v>
      </c>
      <c r="W190" s="4" t="s">
        <v>24</v>
      </c>
      <c r="X190" s="1" t="s">
        <v>24</v>
      </c>
      <c r="Y190" s="1" t="s">
        <v>24</v>
      </c>
      <c r="Z190" s="4" t="s">
        <v>24</v>
      </c>
      <c r="AA190" s="1" t="s">
        <v>24</v>
      </c>
      <c r="AB190" s="1" t="s">
        <v>24</v>
      </c>
      <c r="AC190" s="4" t="s">
        <v>24</v>
      </c>
      <c r="AD190" t="s">
        <v>25</v>
      </c>
    </row>
    <row r="191" spans="1:30" hidden="1" x14ac:dyDescent="0.35">
      <c r="A191" t="s">
        <v>66</v>
      </c>
      <c r="B191" t="s">
        <v>32</v>
      </c>
      <c r="C191" t="s">
        <v>28</v>
      </c>
      <c r="D191">
        <v>0.26</v>
      </c>
      <c r="E191">
        <v>5</v>
      </c>
      <c r="F191" t="s">
        <v>22</v>
      </c>
      <c r="G191" t="s">
        <v>29</v>
      </c>
      <c r="H191" t="s">
        <v>67</v>
      </c>
      <c r="I191">
        <v>1</v>
      </c>
      <c r="J191" t="s">
        <v>24</v>
      </c>
      <c r="K191" s="2" t="s">
        <v>24</v>
      </c>
      <c r="L191" t="s">
        <v>24</v>
      </c>
      <c r="M191" t="s">
        <v>24</v>
      </c>
      <c r="N191" t="s">
        <v>24</v>
      </c>
      <c r="O191" t="s">
        <v>22</v>
      </c>
      <c r="P191">
        <v>4</v>
      </c>
      <c r="Q191" t="s">
        <v>39</v>
      </c>
      <c r="R191" s="1">
        <v>12.4</v>
      </c>
      <c r="S191" s="1">
        <v>10.02</v>
      </c>
      <c r="T191" s="1">
        <v>14.83</v>
      </c>
      <c r="U191" s="1" t="s">
        <v>24</v>
      </c>
      <c r="V191" s="1" t="s">
        <v>24</v>
      </c>
      <c r="W191" s="4" t="s">
        <v>24</v>
      </c>
      <c r="X191" s="1" t="s">
        <v>24</v>
      </c>
      <c r="Y191" s="1" t="s">
        <v>24</v>
      </c>
      <c r="Z191" s="4" t="s">
        <v>24</v>
      </c>
      <c r="AA191" s="1" t="s">
        <v>24</v>
      </c>
      <c r="AB191" s="1" t="s">
        <v>24</v>
      </c>
      <c r="AC191" s="4" t="s">
        <v>24</v>
      </c>
      <c r="AD191" t="s">
        <v>25</v>
      </c>
    </row>
    <row r="192" spans="1:30" hidden="1" x14ac:dyDescent="0.35">
      <c r="A192" t="s">
        <v>66</v>
      </c>
      <c r="B192" t="s">
        <v>32</v>
      </c>
      <c r="C192" t="s">
        <v>28</v>
      </c>
      <c r="D192">
        <v>0.26</v>
      </c>
      <c r="E192">
        <v>5</v>
      </c>
      <c r="F192" t="s">
        <v>22</v>
      </c>
      <c r="G192" t="s">
        <v>29</v>
      </c>
      <c r="H192" t="s">
        <v>67</v>
      </c>
      <c r="I192">
        <v>1</v>
      </c>
      <c r="J192" t="s">
        <v>24</v>
      </c>
      <c r="K192" s="2" t="s">
        <v>24</v>
      </c>
      <c r="L192" t="s">
        <v>24</v>
      </c>
      <c r="M192" t="s">
        <v>24</v>
      </c>
      <c r="N192" t="s">
        <v>24</v>
      </c>
      <c r="O192" t="s">
        <v>22</v>
      </c>
      <c r="P192">
        <v>8</v>
      </c>
      <c r="Q192" t="s">
        <v>39</v>
      </c>
      <c r="R192" s="1">
        <v>5.47</v>
      </c>
      <c r="S192" s="1">
        <v>3.97</v>
      </c>
      <c r="T192" s="1">
        <v>6.9</v>
      </c>
      <c r="U192" s="1" t="s">
        <v>24</v>
      </c>
      <c r="V192" s="1" t="s">
        <v>24</v>
      </c>
      <c r="W192" s="4" t="s">
        <v>24</v>
      </c>
      <c r="X192" s="1" t="s">
        <v>24</v>
      </c>
      <c r="Y192" s="1" t="s">
        <v>24</v>
      </c>
      <c r="Z192" s="4" t="s">
        <v>24</v>
      </c>
      <c r="AA192" s="1" t="s">
        <v>24</v>
      </c>
      <c r="AB192" s="1" t="s">
        <v>24</v>
      </c>
      <c r="AC192" s="4" t="s">
        <v>24</v>
      </c>
      <c r="AD192" t="s">
        <v>25</v>
      </c>
    </row>
    <row r="193" spans="1:30" hidden="1" x14ac:dyDescent="0.35">
      <c r="A193" t="s">
        <v>66</v>
      </c>
      <c r="B193" t="s">
        <v>32</v>
      </c>
      <c r="C193" t="s">
        <v>28</v>
      </c>
      <c r="D193">
        <v>0.26</v>
      </c>
      <c r="E193">
        <v>5</v>
      </c>
      <c r="F193" t="s">
        <v>22</v>
      </c>
      <c r="G193" t="s">
        <v>29</v>
      </c>
      <c r="H193" t="s">
        <v>67</v>
      </c>
      <c r="I193">
        <v>1</v>
      </c>
      <c r="J193" t="s">
        <v>24</v>
      </c>
      <c r="K193" s="2" t="s">
        <v>24</v>
      </c>
      <c r="L193" t="s">
        <v>24</v>
      </c>
      <c r="M193" t="s">
        <v>24</v>
      </c>
      <c r="N193" t="s">
        <v>24</v>
      </c>
      <c r="O193" t="s">
        <v>22</v>
      </c>
      <c r="P193">
        <v>24</v>
      </c>
      <c r="Q193" t="s">
        <v>39</v>
      </c>
      <c r="R193" s="1">
        <v>2.92</v>
      </c>
      <c r="S193" s="1">
        <v>2.92</v>
      </c>
      <c r="T193" s="1">
        <v>2.92</v>
      </c>
      <c r="U193" s="1" t="s">
        <v>24</v>
      </c>
      <c r="V193" s="1" t="s">
        <v>24</v>
      </c>
      <c r="W193" s="4" t="s">
        <v>24</v>
      </c>
      <c r="X193" s="1" t="s">
        <v>24</v>
      </c>
      <c r="Y193" s="1" t="s">
        <v>24</v>
      </c>
      <c r="Z193" s="4" t="s">
        <v>24</v>
      </c>
      <c r="AA193" s="1" t="s">
        <v>24</v>
      </c>
      <c r="AB193" s="1" t="s">
        <v>24</v>
      </c>
      <c r="AC193" s="4" t="s">
        <v>24</v>
      </c>
      <c r="AD193" t="s">
        <v>25</v>
      </c>
    </row>
    <row r="194" spans="1:30" hidden="1" x14ac:dyDescent="0.35">
      <c r="A194" t="s">
        <v>66</v>
      </c>
      <c r="B194" t="s">
        <v>32</v>
      </c>
      <c r="C194" t="s">
        <v>42</v>
      </c>
      <c r="D194">
        <v>0.26</v>
      </c>
      <c r="E194">
        <v>5</v>
      </c>
      <c r="F194" t="s">
        <v>22</v>
      </c>
      <c r="G194" t="s">
        <v>29</v>
      </c>
      <c r="H194" t="s">
        <v>67</v>
      </c>
      <c r="I194">
        <v>1</v>
      </c>
      <c r="J194" t="s">
        <v>24</v>
      </c>
      <c r="K194" s="2" t="s">
        <v>24</v>
      </c>
      <c r="L194" t="s">
        <v>24</v>
      </c>
      <c r="M194" t="s">
        <v>24</v>
      </c>
      <c r="N194" t="s">
        <v>24</v>
      </c>
      <c r="O194" t="s">
        <v>68</v>
      </c>
      <c r="P194">
        <v>0.5</v>
      </c>
      <c r="Q194" t="s">
        <v>39</v>
      </c>
      <c r="R194" s="1">
        <v>20.149999999999999</v>
      </c>
      <c r="S194" s="1">
        <v>17.5835447989346</v>
      </c>
      <c r="T194" s="1">
        <v>22.827764621487098</v>
      </c>
      <c r="U194" s="1" t="s">
        <v>24</v>
      </c>
      <c r="V194" s="1" t="s">
        <v>24</v>
      </c>
      <c r="W194" s="4" t="s">
        <v>24</v>
      </c>
      <c r="X194" s="1" t="s">
        <v>24</v>
      </c>
      <c r="Y194" s="1" t="s">
        <v>24</v>
      </c>
      <c r="Z194" s="4" t="s">
        <v>24</v>
      </c>
      <c r="AA194" s="1" t="s">
        <v>24</v>
      </c>
      <c r="AB194" s="1" t="s">
        <v>24</v>
      </c>
      <c r="AC194" s="4" t="s">
        <v>24</v>
      </c>
      <c r="AD194" t="s">
        <v>25</v>
      </c>
    </row>
    <row r="195" spans="1:30" hidden="1" x14ac:dyDescent="0.35">
      <c r="A195" t="s">
        <v>66</v>
      </c>
      <c r="B195" t="s">
        <v>32</v>
      </c>
      <c r="C195" t="s">
        <v>42</v>
      </c>
      <c r="D195">
        <v>0.26</v>
      </c>
      <c r="E195">
        <v>5</v>
      </c>
      <c r="F195" t="s">
        <v>22</v>
      </c>
      <c r="G195" t="s">
        <v>29</v>
      </c>
      <c r="H195" t="s">
        <v>67</v>
      </c>
      <c r="I195">
        <v>1</v>
      </c>
      <c r="J195" t="s">
        <v>24</v>
      </c>
      <c r="K195" s="2" t="s">
        <v>24</v>
      </c>
      <c r="L195" t="s">
        <v>24</v>
      </c>
      <c r="M195" t="s">
        <v>24</v>
      </c>
      <c r="N195" t="s">
        <v>24</v>
      </c>
      <c r="O195" t="s">
        <v>68</v>
      </c>
      <c r="P195">
        <v>0.7</v>
      </c>
      <c r="Q195" t="s">
        <v>39</v>
      </c>
      <c r="R195" s="1">
        <v>10.99</v>
      </c>
      <c r="S195" s="1">
        <v>9.8714684538510706</v>
      </c>
      <c r="T195" s="1">
        <v>12.3393390976243</v>
      </c>
      <c r="U195" s="1" t="s">
        <v>24</v>
      </c>
      <c r="V195" s="1" t="s">
        <v>24</v>
      </c>
      <c r="W195" s="4" t="s">
        <v>24</v>
      </c>
      <c r="X195" s="1" t="s">
        <v>24</v>
      </c>
      <c r="Y195" s="1" t="s">
        <v>24</v>
      </c>
      <c r="Z195" s="4" t="s">
        <v>24</v>
      </c>
      <c r="AA195" s="1" t="s">
        <v>24</v>
      </c>
      <c r="AB195" s="1" t="s">
        <v>24</v>
      </c>
      <c r="AC195" s="4" t="s">
        <v>24</v>
      </c>
      <c r="AD195" t="s">
        <v>25</v>
      </c>
    </row>
    <row r="196" spans="1:30" hidden="1" x14ac:dyDescent="0.35">
      <c r="A196" t="s">
        <v>66</v>
      </c>
      <c r="B196" t="s">
        <v>32</v>
      </c>
      <c r="C196" t="s">
        <v>42</v>
      </c>
      <c r="D196">
        <v>0.26</v>
      </c>
      <c r="E196">
        <v>5</v>
      </c>
      <c r="F196" t="s">
        <v>22</v>
      </c>
      <c r="G196" t="s">
        <v>29</v>
      </c>
      <c r="H196" t="s">
        <v>67</v>
      </c>
      <c r="I196">
        <v>1</v>
      </c>
      <c r="J196" t="s">
        <v>24</v>
      </c>
      <c r="K196" s="2" t="s">
        <v>24</v>
      </c>
      <c r="L196" t="s">
        <v>24</v>
      </c>
      <c r="M196" t="s">
        <v>24</v>
      </c>
      <c r="N196" t="s">
        <v>24</v>
      </c>
      <c r="O196" t="s">
        <v>68</v>
      </c>
      <c r="P196">
        <v>1</v>
      </c>
      <c r="Q196" t="s">
        <v>39</v>
      </c>
      <c r="R196" s="1">
        <v>40.020000000000003</v>
      </c>
      <c r="S196" s="1">
        <v>33.161957938468099</v>
      </c>
      <c r="T196" s="1">
        <v>46.580978969234003</v>
      </c>
      <c r="U196" s="1" t="s">
        <v>24</v>
      </c>
      <c r="V196" s="1" t="s">
        <v>24</v>
      </c>
      <c r="W196" s="4" t="s">
        <v>24</v>
      </c>
      <c r="X196" s="1" t="s">
        <v>24</v>
      </c>
      <c r="Y196" s="1" t="s">
        <v>24</v>
      </c>
      <c r="Z196" s="4" t="s">
        <v>24</v>
      </c>
      <c r="AA196" s="1" t="s">
        <v>24</v>
      </c>
      <c r="AB196" s="1" t="s">
        <v>24</v>
      </c>
      <c r="AC196" s="4" t="s">
        <v>24</v>
      </c>
      <c r="AD196" t="s">
        <v>25</v>
      </c>
    </row>
    <row r="197" spans="1:30" hidden="1" x14ac:dyDescent="0.35">
      <c r="A197" t="s">
        <v>66</v>
      </c>
      <c r="B197" t="s">
        <v>32</v>
      </c>
      <c r="C197" t="s">
        <v>42</v>
      </c>
      <c r="D197">
        <v>0.26</v>
      </c>
      <c r="E197">
        <v>5</v>
      </c>
      <c r="F197" t="s">
        <v>22</v>
      </c>
      <c r="G197" t="s">
        <v>29</v>
      </c>
      <c r="H197" t="s">
        <v>67</v>
      </c>
      <c r="I197">
        <v>1</v>
      </c>
      <c r="J197" t="s">
        <v>24</v>
      </c>
      <c r="K197" s="2" t="s">
        <v>24</v>
      </c>
      <c r="L197" t="s">
        <v>24</v>
      </c>
      <c r="M197" t="s">
        <v>24</v>
      </c>
      <c r="N197" t="s">
        <v>24</v>
      </c>
      <c r="O197" t="s">
        <v>68</v>
      </c>
      <c r="P197">
        <v>4</v>
      </c>
      <c r="Q197" t="s">
        <v>39</v>
      </c>
      <c r="R197" s="1">
        <v>45.34</v>
      </c>
      <c r="S197" s="1">
        <v>34.550132527857599</v>
      </c>
      <c r="T197" s="1">
        <v>56.915165225593903</v>
      </c>
      <c r="U197" s="1" t="s">
        <v>24</v>
      </c>
      <c r="V197" s="1" t="s">
        <v>24</v>
      </c>
      <c r="W197" s="4" t="s">
        <v>24</v>
      </c>
      <c r="X197" s="1" t="s">
        <v>24</v>
      </c>
      <c r="Y197" s="1" t="s">
        <v>24</v>
      </c>
      <c r="Z197" s="4" t="s">
        <v>24</v>
      </c>
      <c r="AA197" s="1" t="s">
        <v>24</v>
      </c>
      <c r="AB197" s="1" t="s">
        <v>24</v>
      </c>
      <c r="AC197" s="4" t="s">
        <v>24</v>
      </c>
      <c r="AD197" t="s">
        <v>25</v>
      </c>
    </row>
    <row r="198" spans="1:30" hidden="1" x14ac:dyDescent="0.35">
      <c r="A198" t="s">
        <v>66</v>
      </c>
      <c r="B198" t="s">
        <v>32</v>
      </c>
      <c r="C198" t="s">
        <v>42</v>
      </c>
      <c r="D198">
        <v>0.26</v>
      </c>
      <c r="E198">
        <v>5</v>
      </c>
      <c r="F198" t="s">
        <v>22</v>
      </c>
      <c r="G198" t="s">
        <v>29</v>
      </c>
      <c r="H198" t="s">
        <v>67</v>
      </c>
      <c r="I198">
        <v>1</v>
      </c>
      <c r="J198" t="s">
        <v>24</v>
      </c>
      <c r="K198" s="2" t="s">
        <v>24</v>
      </c>
      <c r="L198" t="s">
        <v>24</v>
      </c>
      <c r="M198" t="s">
        <v>24</v>
      </c>
      <c r="N198" t="s">
        <v>24</v>
      </c>
      <c r="O198" t="s">
        <v>68</v>
      </c>
      <c r="P198">
        <v>8</v>
      </c>
      <c r="Q198" t="s">
        <v>39</v>
      </c>
      <c r="R198" s="1">
        <v>12.73</v>
      </c>
      <c r="S198" s="1">
        <v>11.1053967151166</v>
      </c>
      <c r="T198" s="1">
        <v>14.344470757025601</v>
      </c>
      <c r="U198" s="1" t="s">
        <v>24</v>
      </c>
      <c r="V198" s="1" t="s">
        <v>24</v>
      </c>
      <c r="W198" s="4" t="s">
        <v>24</v>
      </c>
      <c r="X198" s="1" t="s">
        <v>24</v>
      </c>
      <c r="Y198" s="1" t="s">
        <v>24</v>
      </c>
      <c r="Z198" s="4" t="s">
        <v>24</v>
      </c>
      <c r="AA198" s="1" t="s">
        <v>24</v>
      </c>
      <c r="AB198" s="1" t="s">
        <v>24</v>
      </c>
      <c r="AC198" s="4" t="s">
        <v>24</v>
      </c>
      <c r="AD198" t="s">
        <v>25</v>
      </c>
    </row>
    <row r="199" spans="1:30" hidden="1" x14ac:dyDescent="0.35">
      <c r="A199" t="s">
        <v>66</v>
      </c>
      <c r="B199" t="s">
        <v>32</v>
      </c>
      <c r="C199" t="s">
        <v>42</v>
      </c>
      <c r="D199">
        <v>0.26</v>
      </c>
      <c r="E199">
        <v>5</v>
      </c>
      <c r="F199" t="s">
        <v>22</v>
      </c>
      <c r="G199" t="s">
        <v>29</v>
      </c>
      <c r="H199" t="s">
        <v>67</v>
      </c>
      <c r="I199">
        <v>1</v>
      </c>
      <c r="J199" t="s">
        <v>24</v>
      </c>
      <c r="K199" s="2" t="s">
        <v>24</v>
      </c>
      <c r="L199" t="s">
        <v>24</v>
      </c>
      <c r="M199" t="s">
        <v>24</v>
      </c>
      <c r="N199" t="s">
        <v>24</v>
      </c>
      <c r="O199" t="s">
        <v>68</v>
      </c>
      <c r="P199">
        <v>24</v>
      </c>
      <c r="Q199" t="s">
        <v>39</v>
      </c>
      <c r="R199" s="1">
        <v>3.27</v>
      </c>
      <c r="S199" s="1">
        <v>1.23394238250773</v>
      </c>
      <c r="T199" s="1">
        <v>4.4730164244167501</v>
      </c>
      <c r="U199" s="1" t="s">
        <v>24</v>
      </c>
      <c r="V199" s="1" t="s">
        <v>24</v>
      </c>
      <c r="W199" s="4" t="s">
        <v>24</v>
      </c>
      <c r="X199" s="1" t="s">
        <v>24</v>
      </c>
      <c r="Y199" s="1" t="s">
        <v>24</v>
      </c>
      <c r="Z199" s="4" t="s">
        <v>24</v>
      </c>
      <c r="AA199" s="1" t="s">
        <v>24</v>
      </c>
      <c r="AB199" s="1" t="s">
        <v>24</v>
      </c>
      <c r="AC199" s="4" t="s">
        <v>24</v>
      </c>
      <c r="AD199" t="s">
        <v>25</v>
      </c>
    </row>
    <row r="200" spans="1:30" hidden="1" x14ac:dyDescent="0.35">
      <c r="A200" t="s">
        <v>66</v>
      </c>
      <c r="B200" t="s">
        <v>32</v>
      </c>
      <c r="C200" t="s">
        <v>28</v>
      </c>
      <c r="D200">
        <v>0.26</v>
      </c>
      <c r="E200">
        <v>5</v>
      </c>
      <c r="F200" t="s">
        <v>22</v>
      </c>
      <c r="G200" t="s">
        <v>29</v>
      </c>
      <c r="H200" t="s">
        <v>67</v>
      </c>
      <c r="I200">
        <v>1</v>
      </c>
      <c r="J200" t="s">
        <v>24</v>
      </c>
      <c r="K200" s="2" t="s">
        <v>24</v>
      </c>
      <c r="L200" t="s">
        <v>24</v>
      </c>
      <c r="M200" t="s">
        <v>24</v>
      </c>
      <c r="N200" t="s">
        <v>24</v>
      </c>
      <c r="O200" t="s">
        <v>68</v>
      </c>
      <c r="P200">
        <v>0.5</v>
      </c>
      <c r="Q200" t="s">
        <v>39</v>
      </c>
      <c r="R200" s="1">
        <v>43.27</v>
      </c>
      <c r="S200" s="1">
        <v>36.401031980377098</v>
      </c>
      <c r="T200" s="1">
        <v>50.437017141775797</v>
      </c>
      <c r="U200" s="1" t="s">
        <v>24</v>
      </c>
      <c r="V200" s="1" t="s">
        <v>24</v>
      </c>
      <c r="W200" s="4" t="s">
        <v>24</v>
      </c>
      <c r="X200" s="1" t="s">
        <v>24</v>
      </c>
      <c r="Y200" s="1" t="s">
        <v>24</v>
      </c>
      <c r="Z200" s="4" t="s">
        <v>24</v>
      </c>
      <c r="AA200" s="1" t="s">
        <v>24</v>
      </c>
      <c r="AB200" s="1" t="s">
        <v>24</v>
      </c>
      <c r="AC200" s="4" t="s">
        <v>24</v>
      </c>
      <c r="AD200" t="s">
        <v>25</v>
      </c>
    </row>
    <row r="201" spans="1:30" hidden="1" x14ac:dyDescent="0.35">
      <c r="A201" t="s">
        <v>66</v>
      </c>
      <c r="B201" t="s">
        <v>32</v>
      </c>
      <c r="C201" t="s">
        <v>28</v>
      </c>
      <c r="D201">
        <v>0.26</v>
      </c>
      <c r="E201">
        <v>5</v>
      </c>
      <c r="F201" t="s">
        <v>22</v>
      </c>
      <c r="G201" t="s">
        <v>29</v>
      </c>
      <c r="H201" t="s">
        <v>67</v>
      </c>
      <c r="I201">
        <v>1</v>
      </c>
      <c r="J201" t="s">
        <v>24</v>
      </c>
      <c r="K201" s="2" t="s">
        <v>24</v>
      </c>
      <c r="L201" t="s">
        <v>24</v>
      </c>
      <c r="M201" t="s">
        <v>24</v>
      </c>
      <c r="N201" t="s">
        <v>24</v>
      </c>
      <c r="O201" t="s">
        <v>68</v>
      </c>
      <c r="P201">
        <v>0.7</v>
      </c>
      <c r="Q201" t="s">
        <v>39</v>
      </c>
      <c r="R201" s="1">
        <v>21.03</v>
      </c>
      <c r="S201" s="1">
        <v>16.503862865793099</v>
      </c>
      <c r="T201" s="1">
        <v>22.827764621487098</v>
      </c>
      <c r="U201" s="1" t="s">
        <v>24</v>
      </c>
      <c r="V201" s="1" t="s">
        <v>24</v>
      </c>
      <c r="W201" s="4" t="s">
        <v>24</v>
      </c>
      <c r="X201" s="1" t="s">
        <v>24</v>
      </c>
      <c r="Y201" s="1" t="s">
        <v>24</v>
      </c>
      <c r="Z201" s="4" t="s">
        <v>24</v>
      </c>
      <c r="AA201" s="1" t="s">
        <v>24</v>
      </c>
      <c r="AB201" s="1" t="s">
        <v>24</v>
      </c>
      <c r="AC201" s="4" t="s">
        <v>24</v>
      </c>
      <c r="AD201" t="s">
        <v>25</v>
      </c>
    </row>
    <row r="202" spans="1:30" hidden="1" x14ac:dyDescent="0.35">
      <c r="A202" t="s">
        <v>66</v>
      </c>
      <c r="B202" t="s">
        <v>32</v>
      </c>
      <c r="C202" t="s">
        <v>28</v>
      </c>
      <c r="D202">
        <v>0.26</v>
      </c>
      <c r="E202">
        <v>5</v>
      </c>
      <c r="F202" t="s">
        <v>22</v>
      </c>
      <c r="G202" t="s">
        <v>29</v>
      </c>
      <c r="H202" t="s">
        <v>67</v>
      </c>
      <c r="I202">
        <v>1</v>
      </c>
      <c r="J202" t="s">
        <v>24</v>
      </c>
      <c r="K202" s="2" t="s">
        <v>24</v>
      </c>
      <c r="L202" t="s">
        <v>24</v>
      </c>
      <c r="M202" t="s">
        <v>24</v>
      </c>
      <c r="N202" t="s">
        <v>24</v>
      </c>
      <c r="O202" t="s">
        <v>68</v>
      </c>
      <c r="P202">
        <v>1</v>
      </c>
      <c r="Q202" t="s">
        <v>39</v>
      </c>
      <c r="R202" s="1">
        <v>17.77</v>
      </c>
      <c r="S202" s="1">
        <v>14.344470757025601</v>
      </c>
      <c r="T202" s="1">
        <v>21.131111497091698</v>
      </c>
      <c r="U202" s="1" t="s">
        <v>24</v>
      </c>
      <c r="V202" s="1" t="s">
        <v>24</v>
      </c>
      <c r="W202" s="4" t="s">
        <v>24</v>
      </c>
      <c r="X202" s="1" t="s">
        <v>24</v>
      </c>
      <c r="Y202" s="1" t="s">
        <v>24</v>
      </c>
      <c r="Z202" s="4" t="s">
        <v>24</v>
      </c>
      <c r="AA202" s="1" t="s">
        <v>24</v>
      </c>
      <c r="AB202" s="1" t="s">
        <v>24</v>
      </c>
      <c r="AC202" s="4" t="s">
        <v>24</v>
      </c>
      <c r="AD202" t="s">
        <v>25</v>
      </c>
    </row>
    <row r="203" spans="1:30" hidden="1" x14ac:dyDescent="0.35">
      <c r="A203" t="s">
        <v>66</v>
      </c>
      <c r="B203" t="s">
        <v>32</v>
      </c>
      <c r="C203" t="s">
        <v>28</v>
      </c>
      <c r="D203">
        <v>0.26</v>
      </c>
      <c r="E203">
        <v>5</v>
      </c>
      <c r="F203" t="s">
        <v>22</v>
      </c>
      <c r="G203" t="s">
        <v>29</v>
      </c>
      <c r="H203" t="s">
        <v>67</v>
      </c>
      <c r="I203">
        <v>1</v>
      </c>
      <c r="J203" t="s">
        <v>24</v>
      </c>
      <c r="K203" s="2" t="s">
        <v>24</v>
      </c>
      <c r="L203" t="s">
        <v>24</v>
      </c>
      <c r="M203" t="s">
        <v>24</v>
      </c>
      <c r="N203" t="s">
        <v>24</v>
      </c>
      <c r="O203" t="s">
        <v>68</v>
      </c>
      <c r="P203">
        <v>4</v>
      </c>
      <c r="Q203" t="s">
        <v>39</v>
      </c>
      <c r="R203" s="1">
        <v>41.15</v>
      </c>
      <c r="S203" s="1">
        <v>34.858611062863503</v>
      </c>
      <c r="T203" s="1">
        <v>46.8894575042399</v>
      </c>
      <c r="U203" s="1" t="s">
        <v>24</v>
      </c>
      <c r="V203" s="1" t="s">
        <v>24</v>
      </c>
      <c r="W203" s="4" t="s">
        <v>24</v>
      </c>
      <c r="X203" s="1" t="s">
        <v>24</v>
      </c>
      <c r="Y203" s="1" t="s">
        <v>24</v>
      </c>
      <c r="Z203" s="4" t="s">
        <v>24</v>
      </c>
      <c r="AA203" s="1" t="s">
        <v>24</v>
      </c>
      <c r="AB203" s="1" t="s">
        <v>24</v>
      </c>
      <c r="AC203" s="4" t="s">
        <v>24</v>
      </c>
      <c r="AD203" t="s">
        <v>25</v>
      </c>
    </row>
    <row r="204" spans="1:30" hidden="1" x14ac:dyDescent="0.35">
      <c r="A204" t="s">
        <v>66</v>
      </c>
      <c r="B204" t="s">
        <v>32</v>
      </c>
      <c r="C204" t="s">
        <v>28</v>
      </c>
      <c r="D204">
        <v>0.26</v>
      </c>
      <c r="E204">
        <v>5</v>
      </c>
      <c r="F204" t="s">
        <v>22</v>
      </c>
      <c r="G204" t="s">
        <v>29</v>
      </c>
      <c r="H204" t="s">
        <v>67</v>
      </c>
      <c r="I204">
        <v>1</v>
      </c>
      <c r="J204" t="s">
        <v>24</v>
      </c>
      <c r="K204" s="2" t="s">
        <v>24</v>
      </c>
      <c r="L204" t="s">
        <v>24</v>
      </c>
      <c r="M204" t="s">
        <v>24</v>
      </c>
      <c r="N204" t="s">
        <v>24</v>
      </c>
      <c r="O204" t="s">
        <v>68</v>
      </c>
      <c r="P204">
        <v>8</v>
      </c>
      <c r="Q204" t="s">
        <v>39</v>
      </c>
      <c r="R204" s="1">
        <v>16.809999999999999</v>
      </c>
      <c r="S204" s="1">
        <v>14.1902385501438</v>
      </c>
      <c r="T204" s="1">
        <v>18.817487181442399</v>
      </c>
      <c r="U204" s="1" t="s">
        <v>24</v>
      </c>
      <c r="V204" s="1" t="s">
        <v>24</v>
      </c>
      <c r="W204" s="4" t="s">
        <v>24</v>
      </c>
      <c r="X204" s="1" t="s">
        <v>24</v>
      </c>
      <c r="Y204" s="1" t="s">
        <v>24</v>
      </c>
      <c r="Z204" s="4" t="s">
        <v>24</v>
      </c>
      <c r="AA204" s="1" t="s">
        <v>24</v>
      </c>
      <c r="AB204" s="1" t="s">
        <v>24</v>
      </c>
      <c r="AC204" s="4" t="s">
        <v>24</v>
      </c>
      <c r="AD204" t="s">
        <v>25</v>
      </c>
    </row>
    <row r="205" spans="1:30" hidden="1" x14ac:dyDescent="0.35">
      <c r="A205" t="s">
        <v>66</v>
      </c>
      <c r="B205" t="s">
        <v>32</v>
      </c>
      <c r="C205" t="s">
        <v>28</v>
      </c>
      <c r="D205">
        <v>0.26</v>
      </c>
      <c r="E205">
        <v>5</v>
      </c>
      <c r="F205" t="s">
        <v>22</v>
      </c>
      <c r="G205" t="s">
        <v>29</v>
      </c>
      <c r="H205" t="s">
        <v>67</v>
      </c>
      <c r="I205">
        <v>1</v>
      </c>
      <c r="J205" t="s">
        <v>24</v>
      </c>
      <c r="K205" s="2" t="s">
        <v>24</v>
      </c>
      <c r="L205" t="s">
        <v>24</v>
      </c>
      <c r="M205" t="s">
        <v>24</v>
      </c>
      <c r="N205" t="s">
        <v>24</v>
      </c>
      <c r="O205" t="s">
        <v>68</v>
      </c>
      <c r="P205">
        <v>24</v>
      </c>
      <c r="Q205" t="s">
        <v>39</v>
      </c>
      <c r="R205" s="1">
        <v>4.83</v>
      </c>
      <c r="S205" s="1">
        <v>1.85089945251944</v>
      </c>
      <c r="T205" s="1">
        <v>5.8611910138063301</v>
      </c>
      <c r="U205" s="1" t="s">
        <v>24</v>
      </c>
      <c r="V205" s="1" t="s">
        <v>24</v>
      </c>
      <c r="W205" s="4" t="s">
        <v>24</v>
      </c>
      <c r="X205" s="1" t="s">
        <v>24</v>
      </c>
      <c r="Y205" s="1" t="s">
        <v>24</v>
      </c>
      <c r="Z205" s="4" t="s">
        <v>24</v>
      </c>
      <c r="AA205" s="1" t="s">
        <v>24</v>
      </c>
      <c r="AB205" s="1" t="s">
        <v>24</v>
      </c>
      <c r="AC205" s="4" t="s">
        <v>24</v>
      </c>
      <c r="AD205" t="s">
        <v>25</v>
      </c>
    </row>
    <row r="206" spans="1:30" hidden="1" x14ac:dyDescent="0.35">
      <c r="A206" t="s">
        <v>66</v>
      </c>
      <c r="B206" t="s">
        <v>32</v>
      </c>
      <c r="C206" t="s">
        <v>42</v>
      </c>
      <c r="D206">
        <v>0.26</v>
      </c>
      <c r="E206">
        <v>5</v>
      </c>
      <c r="F206" t="s">
        <v>22</v>
      </c>
      <c r="G206" t="s">
        <v>29</v>
      </c>
      <c r="H206" t="s">
        <v>67</v>
      </c>
      <c r="I206">
        <v>1</v>
      </c>
      <c r="J206" t="s">
        <v>24</v>
      </c>
      <c r="K206" s="2" t="s">
        <v>24</v>
      </c>
      <c r="L206" t="s">
        <v>24</v>
      </c>
      <c r="M206" t="s">
        <v>24</v>
      </c>
      <c r="N206" t="s">
        <v>24</v>
      </c>
      <c r="O206" t="s">
        <v>22</v>
      </c>
      <c r="P206">
        <v>0.5</v>
      </c>
      <c r="Q206" t="s">
        <v>31</v>
      </c>
      <c r="R206" s="2">
        <v>81.584370219624105</v>
      </c>
      <c r="S206" s="2">
        <v>0</v>
      </c>
      <c r="T206" s="2">
        <v>163.16980748743401</v>
      </c>
      <c r="U206" s="3">
        <f t="shared" ref="U206:U253" si="1">R206/12.049</f>
        <v>6.7710490679412487</v>
      </c>
      <c r="V206" s="3">
        <f>U206/(318.15*1000)</f>
        <v>2.1282568184633817E-5</v>
      </c>
      <c r="W206" s="5">
        <f>V206</f>
        <v>2.1282568184633817E-5</v>
      </c>
      <c r="X206" s="3">
        <f t="shared" ref="X206:X253" si="2">S206/12.049</f>
        <v>0</v>
      </c>
      <c r="Y206" s="3">
        <f>X206/(318.15*1000)</f>
        <v>0</v>
      </c>
      <c r="Z206" s="5">
        <f>Y206</f>
        <v>0</v>
      </c>
      <c r="AA206" s="3">
        <f t="shared" ref="AA206:AA253" si="3">T206/12.049</f>
        <v>13.542186694948462</v>
      </c>
      <c r="AB206" s="3">
        <f>AA206/(318.15*1000)</f>
        <v>4.2565414725596296E-5</v>
      </c>
      <c r="AC206" s="5">
        <f>AB206</f>
        <v>4.2565414725596296E-5</v>
      </c>
      <c r="AD206" t="s">
        <v>25</v>
      </c>
    </row>
    <row r="207" spans="1:30" hidden="1" x14ac:dyDescent="0.35">
      <c r="A207" t="s">
        <v>66</v>
      </c>
      <c r="B207" t="s">
        <v>32</v>
      </c>
      <c r="C207" t="s">
        <v>42</v>
      </c>
      <c r="D207">
        <v>0.26</v>
      </c>
      <c r="E207">
        <v>5</v>
      </c>
      <c r="F207" t="s">
        <v>22</v>
      </c>
      <c r="G207" t="s">
        <v>29</v>
      </c>
      <c r="H207" t="s">
        <v>67</v>
      </c>
      <c r="I207">
        <v>1</v>
      </c>
      <c r="J207" t="s">
        <v>24</v>
      </c>
      <c r="K207" s="2" t="s">
        <v>24</v>
      </c>
      <c r="L207" t="s">
        <v>24</v>
      </c>
      <c r="M207" t="s">
        <v>24</v>
      </c>
      <c r="N207" t="s">
        <v>24</v>
      </c>
      <c r="O207" t="s">
        <v>22</v>
      </c>
      <c r="P207">
        <v>0.7</v>
      </c>
      <c r="Q207" t="s">
        <v>31</v>
      </c>
      <c r="R207" s="2">
        <v>0</v>
      </c>
      <c r="S207" s="2">
        <v>0</v>
      </c>
      <c r="T207" s="2">
        <v>163.16980748743401</v>
      </c>
      <c r="U207" s="3">
        <f t="shared" si="1"/>
        <v>0</v>
      </c>
      <c r="V207" s="3">
        <f t="shared" ref="V207:V217" si="4">U207/(318.15*1000)</f>
        <v>0</v>
      </c>
      <c r="W207" s="5">
        <f>V207+W206</f>
        <v>2.1282568184633817E-5</v>
      </c>
      <c r="X207" s="3">
        <f t="shared" si="2"/>
        <v>0</v>
      </c>
      <c r="Y207" s="3">
        <f t="shared" ref="Y207:Y217" si="5">X207/(318.15*1000)</f>
        <v>0</v>
      </c>
      <c r="Z207" s="5">
        <f>Y207+Z206</f>
        <v>0</v>
      </c>
      <c r="AA207" s="3">
        <f t="shared" si="3"/>
        <v>13.542186694948462</v>
      </c>
      <c r="AB207" s="3">
        <f t="shared" ref="AB207:AB217" si="6">AA207/(318.15*1000)</f>
        <v>4.2565414725596296E-5</v>
      </c>
      <c r="AC207" s="5">
        <f>AB207+AC206</f>
        <v>8.5130829451192592E-5</v>
      </c>
      <c r="AD207" t="s">
        <v>25</v>
      </c>
    </row>
    <row r="208" spans="1:30" hidden="1" x14ac:dyDescent="0.35">
      <c r="A208" t="s">
        <v>66</v>
      </c>
      <c r="B208" t="s">
        <v>32</v>
      </c>
      <c r="C208" t="s">
        <v>42</v>
      </c>
      <c r="D208">
        <v>0.26</v>
      </c>
      <c r="E208">
        <v>5</v>
      </c>
      <c r="F208" t="s">
        <v>22</v>
      </c>
      <c r="G208" t="s">
        <v>29</v>
      </c>
      <c r="H208" t="s">
        <v>67</v>
      </c>
      <c r="I208">
        <v>1</v>
      </c>
      <c r="J208" t="s">
        <v>24</v>
      </c>
      <c r="K208" s="2" t="s">
        <v>24</v>
      </c>
      <c r="L208" t="s">
        <v>24</v>
      </c>
      <c r="M208" t="s">
        <v>24</v>
      </c>
      <c r="N208" t="s">
        <v>24</v>
      </c>
      <c r="O208" t="s">
        <v>22</v>
      </c>
      <c r="P208">
        <v>1</v>
      </c>
      <c r="Q208" t="s">
        <v>31</v>
      </c>
      <c r="R208" s="2">
        <v>128.204772522399</v>
      </c>
      <c r="S208" s="2">
        <v>46.619335254589103</v>
      </c>
      <c r="T208" s="2">
        <v>233.09987741750399</v>
      </c>
      <c r="U208" s="3">
        <f t="shared" si="1"/>
        <v>10.640283220383351</v>
      </c>
      <c r="V208" s="3">
        <f t="shared" si="4"/>
        <v>3.3444234544659282E-5</v>
      </c>
      <c r="W208" s="5">
        <f>V208+W207</f>
        <v>5.4726802729293102E-5</v>
      </c>
      <c r="X208" s="3">
        <f t="shared" si="2"/>
        <v>3.8691455933761394</v>
      </c>
      <c r="Y208" s="3">
        <f t="shared" si="5"/>
        <v>1.2161388003696808E-5</v>
      </c>
      <c r="Z208" s="5">
        <f>Y208+Z207</f>
        <v>1.2161388003696808E-5</v>
      </c>
      <c r="AA208" s="3">
        <f t="shared" si="3"/>
        <v>19.345993644078678</v>
      </c>
      <c r="AB208" s="3">
        <f t="shared" si="6"/>
        <v>6.080777508747031E-5</v>
      </c>
      <c r="AC208" s="5">
        <f>AB208+AC207</f>
        <v>1.4593860453866292E-4</v>
      </c>
      <c r="AD208" t="s">
        <v>25</v>
      </c>
    </row>
    <row r="209" spans="1:30" hidden="1" x14ac:dyDescent="0.35">
      <c r="A209" t="s">
        <v>66</v>
      </c>
      <c r="B209" t="s">
        <v>32</v>
      </c>
      <c r="C209" t="s">
        <v>42</v>
      </c>
      <c r="D209">
        <v>0.26</v>
      </c>
      <c r="E209">
        <v>5</v>
      </c>
      <c r="F209" t="s">
        <v>22</v>
      </c>
      <c r="G209" t="s">
        <v>29</v>
      </c>
      <c r="H209" t="s">
        <v>67</v>
      </c>
      <c r="I209">
        <v>1</v>
      </c>
      <c r="J209" t="s">
        <v>24</v>
      </c>
      <c r="K209" s="2" t="s">
        <v>24</v>
      </c>
      <c r="L209" t="s">
        <v>24</v>
      </c>
      <c r="M209" t="s">
        <v>24</v>
      </c>
      <c r="N209" t="s">
        <v>24</v>
      </c>
      <c r="O209" t="s">
        <v>22</v>
      </c>
      <c r="P209">
        <v>4</v>
      </c>
      <c r="Q209" t="s">
        <v>31</v>
      </c>
      <c r="R209" s="2">
        <v>2202.7972027972</v>
      </c>
      <c r="S209" s="2">
        <v>2004.66182682064</v>
      </c>
      <c r="T209" s="2">
        <v>2400.93204524967</v>
      </c>
      <c r="U209" s="3">
        <f t="shared" si="1"/>
        <v>182.81991889760147</v>
      </c>
      <c r="V209" s="3">
        <f t="shared" si="4"/>
        <v>5.7463435139903018E-4</v>
      </c>
      <c r="W209" s="5">
        <f>V209+W208</f>
        <v>6.2936115412832332E-4</v>
      </c>
      <c r="X209" s="3">
        <f t="shared" si="2"/>
        <v>166.37578444855507</v>
      </c>
      <c r="Y209" s="3">
        <f t="shared" si="5"/>
        <v>5.2294761731433307E-4</v>
      </c>
      <c r="Z209" s="5">
        <f>Y209+Z208</f>
        <v>5.3510900531802985E-4</v>
      </c>
      <c r="AA209" s="3">
        <f t="shared" si="3"/>
        <v>199.26400906711513</v>
      </c>
      <c r="AB209" s="3">
        <f t="shared" si="6"/>
        <v>6.2632094630556384E-4</v>
      </c>
      <c r="AC209" s="5">
        <f>AB209+AC208</f>
        <v>7.7225955084422675E-4</v>
      </c>
      <c r="AD209" t="s">
        <v>25</v>
      </c>
    </row>
    <row r="210" spans="1:30" hidden="1" x14ac:dyDescent="0.35">
      <c r="A210" t="s">
        <v>66</v>
      </c>
      <c r="B210" t="s">
        <v>32</v>
      </c>
      <c r="C210" t="s">
        <v>42</v>
      </c>
      <c r="D210">
        <v>0.26</v>
      </c>
      <c r="E210">
        <v>5</v>
      </c>
      <c r="F210" t="s">
        <v>22</v>
      </c>
      <c r="G210" t="s">
        <v>29</v>
      </c>
      <c r="H210" t="s">
        <v>67</v>
      </c>
      <c r="I210">
        <v>1</v>
      </c>
      <c r="J210" t="s">
        <v>24</v>
      </c>
      <c r="K210" s="2" t="s">
        <v>24</v>
      </c>
      <c r="L210" t="s">
        <v>24</v>
      </c>
      <c r="M210" t="s">
        <v>24</v>
      </c>
      <c r="N210" t="s">
        <v>24</v>
      </c>
      <c r="O210" t="s">
        <v>22</v>
      </c>
      <c r="P210">
        <v>8</v>
      </c>
      <c r="Q210" t="s">
        <v>31</v>
      </c>
      <c r="R210" s="2">
        <v>139.86013986013899</v>
      </c>
      <c r="S210" s="2">
        <v>58.274702592329497</v>
      </c>
      <c r="T210" s="2">
        <v>244.75524475524401</v>
      </c>
      <c r="U210" s="3">
        <f t="shared" si="1"/>
        <v>11.607613898260352</v>
      </c>
      <c r="V210" s="3">
        <f t="shared" si="4"/>
        <v>3.6484720723747764E-5</v>
      </c>
      <c r="W210" s="5">
        <f>V210+W209</f>
        <v>6.6584587485207108E-4</v>
      </c>
      <c r="X210" s="3">
        <f t="shared" si="2"/>
        <v>4.8364762712531748</v>
      </c>
      <c r="Y210" s="3">
        <f t="shared" si="5"/>
        <v>1.52018741827854E-5</v>
      </c>
      <c r="Z210" s="5">
        <f>Y210+Z209</f>
        <v>5.503108795008152E-4</v>
      </c>
      <c r="AA210" s="3">
        <f t="shared" si="3"/>
        <v>20.313324321955683</v>
      </c>
      <c r="AB210" s="3">
        <f t="shared" si="6"/>
        <v>6.3848261266558805E-5</v>
      </c>
      <c r="AC210" s="5">
        <f>AB210+AC209</f>
        <v>8.3610781211078552E-4</v>
      </c>
      <c r="AD210" t="s">
        <v>25</v>
      </c>
    </row>
    <row r="211" spans="1:30" hidden="1" x14ac:dyDescent="0.35">
      <c r="A211" t="s">
        <v>66</v>
      </c>
      <c r="B211" t="s">
        <v>32</v>
      </c>
      <c r="C211" t="s">
        <v>42</v>
      </c>
      <c r="D211">
        <v>0.26</v>
      </c>
      <c r="E211">
        <v>5</v>
      </c>
      <c r="F211" t="s">
        <v>22</v>
      </c>
      <c r="G211" t="s">
        <v>29</v>
      </c>
      <c r="H211" t="s">
        <v>67</v>
      </c>
      <c r="I211">
        <v>1</v>
      </c>
      <c r="J211" t="s">
        <v>24</v>
      </c>
      <c r="K211" s="2" t="s">
        <v>24</v>
      </c>
      <c r="L211" t="s">
        <v>24</v>
      </c>
      <c r="M211" t="s">
        <v>24</v>
      </c>
      <c r="N211" t="s">
        <v>24</v>
      </c>
      <c r="O211" t="s">
        <v>22</v>
      </c>
      <c r="P211">
        <v>24</v>
      </c>
      <c r="Q211" t="s">
        <v>31</v>
      </c>
      <c r="R211" s="2">
        <v>23.309667627294498</v>
      </c>
      <c r="S211" s="2">
        <v>23.309667627294498</v>
      </c>
      <c r="T211" s="2">
        <v>174.825174825174</v>
      </c>
      <c r="U211" s="3">
        <f t="shared" si="1"/>
        <v>1.9345727966880653</v>
      </c>
      <c r="V211" s="3">
        <f t="shared" si="4"/>
        <v>6.0806940018483897E-6</v>
      </c>
      <c r="W211" s="5">
        <f>V211+W210</f>
        <v>6.7192656885391947E-4</v>
      </c>
      <c r="X211" s="3">
        <f t="shared" si="2"/>
        <v>1.9345727966880653</v>
      </c>
      <c r="Y211" s="3">
        <f t="shared" si="5"/>
        <v>6.0806940018483897E-6</v>
      </c>
      <c r="Z211" s="5">
        <f>Y211+Z210</f>
        <v>5.5639157350266359E-4</v>
      </c>
      <c r="AA211" s="3">
        <f t="shared" si="3"/>
        <v>14.509517372825464</v>
      </c>
      <c r="AB211" s="3">
        <f t="shared" si="6"/>
        <v>4.5605900904684784E-5</v>
      </c>
      <c r="AC211" s="5">
        <f>AB211+AC210</f>
        <v>8.8171371301547035E-4</v>
      </c>
      <c r="AD211" t="s">
        <v>25</v>
      </c>
    </row>
    <row r="212" spans="1:30" hidden="1" x14ac:dyDescent="0.35">
      <c r="A212" t="s">
        <v>66</v>
      </c>
      <c r="B212" t="s">
        <v>32</v>
      </c>
      <c r="C212" t="s">
        <v>28</v>
      </c>
      <c r="D212">
        <v>0.26</v>
      </c>
      <c r="E212">
        <v>5</v>
      </c>
      <c r="F212" t="s">
        <v>22</v>
      </c>
      <c r="G212" t="s">
        <v>29</v>
      </c>
      <c r="H212" t="s">
        <v>67</v>
      </c>
      <c r="I212">
        <v>1</v>
      </c>
      <c r="J212" t="s">
        <v>24</v>
      </c>
      <c r="K212" s="2" t="s">
        <v>24</v>
      </c>
      <c r="L212" t="s">
        <v>24</v>
      </c>
      <c r="M212" t="s">
        <v>24</v>
      </c>
      <c r="N212" t="s">
        <v>24</v>
      </c>
      <c r="O212" t="s">
        <v>22</v>
      </c>
      <c r="P212">
        <v>0.5</v>
      </c>
      <c r="Q212" t="s">
        <v>31</v>
      </c>
      <c r="R212" s="2">
        <v>250.61</v>
      </c>
      <c r="S212" s="2">
        <v>69.930069930069905</v>
      </c>
      <c r="T212" s="2">
        <v>442.89008720771398</v>
      </c>
      <c r="U212" s="3">
        <f t="shared" si="1"/>
        <v>20.799236451157775</v>
      </c>
      <c r="V212" s="3">
        <f t="shared" si="4"/>
        <v>6.5375566403136175E-5</v>
      </c>
      <c r="W212" s="5">
        <f>V212</f>
        <v>6.5375566403136175E-5</v>
      </c>
      <c r="X212" s="3">
        <f t="shared" si="2"/>
        <v>5.8038069491302107</v>
      </c>
      <c r="Y212" s="3">
        <f t="shared" si="5"/>
        <v>1.8242360361873994E-5</v>
      </c>
      <c r="Z212" s="5">
        <f>Y212</f>
        <v>1.8242360361873994E-5</v>
      </c>
      <c r="AA212" s="3">
        <f t="shared" si="3"/>
        <v>36.757414491469333</v>
      </c>
      <c r="AB212" s="3">
        <f t="shared" si="6"/>
        <v>1.1553485617309235E-4</v>
      </c>
      <c r="AC212" s="5">
        <f>AB212</f>
        <v>1.1553485617309235E-4</v>
      </c>
      <c r="AD212" t="s">
        <v>25</v>
      </c>
    </row>
    <row r="213" spans="1:30" hidden="1" x14ac:dyDescent="0.35">
      <c r="A213" t="s">
        <v>66</v>
      </c>
      <c r="B213" t="s">
        <v>32</v>
      </c>
      <c r="C213" t="s">
        <v>28</v>
      </c>
      <c r="D213">
        <v>0.26</v>
      </c>
      <c r="E213">
        <v>5</v>
      </c>
      <c r="F213" t="s">
        <v>22</v>
      </c>
      <c r="G213" t="s">
        <v>29</v>
      </c>
      <c r="H213" t="s">
        <v>67</v>
      </c>
      <c r="I213">
        <v>1</v>
      </c>
      <c r="J213" t="s">
        <v>24</v>
      </c>
      <c r="K213" s="2" t="s">
        <v>24</v>
      </c>
      <c r="L213" t="s">
        <v>24</v>
      </c>
      <c r="M213" t="s">
        <v>24</v>
      </c>
      <c r="N213" t="s">
        <v>24</v>
      </c>
      <c r="O213" t="s">
        <v>22</v>
      </c>
      <c r="P213">
        <v>0.7</v>
      </c>
      <c r="Q213" t="s">
        <v>31</v>
      </c>
      <c r="R213" s="2">
        <v>185.85</v>
      </c>
      <c r="S213" s="2">
        <v>0</v>
      </c>
      <c r="T213" s="2">
        <v>349.65034965034903</v>
      </c>
      <c r="U213" s="3">
        <f t="shared" si="1"/>
        <v>15.424516557390655</v>
      </c>
      <c r="V213" s="3">
        <f t="shared" si="4"/>
        <v>4.8481900227536239E-5</v>
      </c>
      <c r="W213" s="5">
        <f>V213+W212</f>
        <v>1.1385746663067242E-4</v>
      </c>
      <c r="X213" s="3">
        <f t="shared" si="2"/>
        <v>0</v>
      </c>
      <c r="Y213" s="3">
        <f t="shared" si="5"/>
        <v>0</v>
      </c>
      <c r="Z213" s="5">
        <f>Y213+Z212</f>
        <v>1.8242360361873994E-5</v>
      </c>
      <c r="AA213" s="3">
        <f t="shared" si="3"/>
        <v>29.019034745651012</v>
      </c>
      <c r="AB213" s="3">
        <f t="shared" si="6"/>
        <v>9.121180180936984E-5</v>
      </c>
      <c r="AC213" s="5">
        <f>AB213+AC212</f>
        <v>2.0674665798246219E-4</v>
      </c>
      <c r="AD213" t="s">
        <v>25</v>
      </c>
    </row>
    <row r="214" spans="1:30" hidden="1" x14ac:dyDescent="0.35">
      <c r="A214" t="s">
        <v>66</v>
      </c>
      <c r="B214" t="s">
        <v>32</v>
      </c>
      <c r="C214" t="s">
        <v>28</v>
      </c>
      <c r="D214">
        <v>0.26</v>
      </c>
      <c r="E214">
        <v>5</v>
      </c>
      <c r="F214" t="s">
        <v>22</v>
      </c>
      <c r="G214" t="s">
        <v>29</v>
      </c>
      <c r="H214" t="s">
        <v>67</v>
      </c>
      <c r="I214">
        <v>1</v>
      </c>
      <c r="J214" t="s">
        <v>24</v>
      </c>
      <c r="K214" s="2" t="s">
        <v>24</v>
      </c>
      <c r="L214" t="s">
        <v>24</v>
      </c>
      <c r="M214" t="s">
        <v>24</v>
      </c>
      <c r="N214" t="s">
        <v>24</v>
      </c>
      <c r="O214" t="s">
        <v>22</v>
      </c>
      <c r="P214">
        <v>1</v>
      </c>
      <c r="Q214" t="s">
        <v>31</v>
      </c>
      <c r="R214" s="2">
        <v>1904.1</v>
      </c>
      <c r="S214" s="2">
        <v>1456.8761011937199</v>
      </c>
      <c r="T214" s="2">
        <v>2307.6923076922999</v>
      </c>
      <c r="U214" s="3">
        <f t="shared" si="1"/>
        <v>158.02971200929537</v>
      </c>
      <c r="V214" s="3">
        <f t="shared" si="4"/>
        <v>4.967144806201332E-4</v>
      </c>
      <c r="W214" s="5">
        <f>V214+W213</f>
        <v>6.1057194725080565E-4</v>
      </c>
      <c r="X214" s="3">
        <f t="shared" si="2"/>
        <v>120.91261525385676</v>
      </c>
      <c r="Y214" s="3">
        <f t="shared" si="5"/>
        <v>3.8004908142026325E-4</v>
      </c>
      <c r="Z214" s="5">
        <f>Y214+Z213</f>
        <v>3.9829144178213724E-4</v>
      </c>
      <c r="AA214" s="3">
        <f t="shared" si="3"/>
        <v>191.52562932129638</v>
      </c>
      <c r="AB214" s="3">
        <f t="shared" si="6"/>
        <v>6.0199789194184E-4</v>
      </c>
      <c r="AC214" s="5">
        <f>AB214+AC213</f>
        <v>8.0874454992430219E-4</v>
      </c>
      <c r="AD214" t="s">
        <v>25</v>
      </c>
    </row>
    <row r="215" spans="1:30" hidden="1" x14ac:dyDescent="0.35">
      <c r="A215" t="s">
        <v>66</v>
      </c>
      <c r="B215" t="s">
        <v>32</v>
      </c>
      <c r="C215" t="s">
        <v>28</v>
      </c>
      <c r="D215">
        <v>0.26</v>
      </c>
      <c r="E215">
        <v>5</v>
      </c>
      <c r="F215" t="s">
        <v>22</v>
      </c>
      <c r="G215" t="s">
        <v>29</v>
      </c>
      <c r="H215" t="s">
        <v>67</v>
      </c>
      <c r="I215">
        <v>1</v>
      </c>
      <c r="J215" t="s">
        <v>24</v>
      </c>
      <c r="K215" s="2" t="s">
        <v>24</v>
      </c>
      <c r="L215" t="s">
        <v>24</v>
      </c>
      <c r="M215" t="s">
        <v>24</v>
      </c>
      <c r="N215" t="s">
        <v>24</v>
      </c>
      <c r="O215" t="s">
        <v>22</v>
      </c>
      <c r="P215">
        <v>4</v>
      </c>
      <c r="Q215" t="s">
        <v>31</v>
      </c>
      <c r="R215" s="2">
        <v>2704.17</v>
      </c>
      <c r="S215" s="2">
        <v>2016.31666063428</v>
      </c>
      <c r="T215" s="2">
        <v>3333.33315549196</v>
      </c>
      <c r="U215" s="3">
        <f t="shared" si="1"/>
        <v>224.4310731181011</v>
      </c>
      <c r="V215" s="3">
        <f t="shared" si="4"/>
        <v>7.0542534376269396E-4</v>
      </c>
      <c r="W215" s="5">
        <f>V215+W214</f>
        <v>1.3159972910134995E-3</v>
      </c>
      <c r="X215" s="3">
        <f t="shared" si="2"/>
        <v>167.34307084689851</v>
      </c>
      <c r="Y215" s="3">
        <f t="shared" si="5"/>
        <v>5.2598796431525547E-4</v>
      </c>
      <c r="Z215" s="5">
        <f>Y215+Z214</f>
        <v>9.2427940609739277E-4</v>
      </c>
      <c r="AA215" s="3">
        <f t="shared" si="3"/>
        <v>276.6481164820284</v>
      </c>
      <c r="AB215" s="3">
        <f t="shared" si="6"/>
        <v>8.6955246418993681E-4</v>
      </c>
      <c r="AC215" s="5">
        <f>AB215+AC214</f>
        <v>1.6782970141142389E-3</v>
      </c>
      <c r="AD215" t="s">
        <v>25</v>
      </c>
    </row>
    <row r="216" spans="1:30" hidden="1" x14ac:dyDescent="0.35">
      <c r="A216" t="s">
        <v>66</v>
      </c>
      <c r="B216" t="s">
        <v>32</v>
      </c>
      <c r="C216" t="s">
        <v>28</v>
      </c>
      <c r="D216">
        <v>0.26</v>
      </c>
      <c r="E216">
        <v>5</v>
      </c>
      <c r="F216" t="s">
        <v>22</v>
      </c>
      <c r="G216" t="s">
        <v>29</v>
      </c>
      <c r="H216" t="s">
        <v>67</v>
      </c>
      <c r="I216">
        <v>1</v>
      </c>
      <c r="J216" t="s">
        <v>24</v>
      </c>
      <c r="K216" s="2" t="s">
        <v>24</v>
      </c>
      <c r="L216" t="s">
        <v>24</v>
      </c>
      <c r="M216" t="s">
        <v>24</v>
      </c>
      <c r="N216" t="s">
        <v>24</v>
      </c>
      <c r="O216" t="s">
        <v>22</v>
      </c>
      <c r="P216">
        <v>8</v>
      </c>
      <c r="Q216" t="s">
        <v>31</v>
      </c>
      <c r="R216" s="2">
        <v>1557.4</v>
      </c>
      <c r="S216" s="2">
        <v>932.40057671820296</v>
      </c>
      <c r="T216" s="2">
        <v>2132.8671328671298</v>
      </c>
      <c r="U216" s="3">
        <f t="shared" si="1"/>
        <v>129.25553987882813</v>
      </c>
      <c r="V216" s="3">
        <f t="shared" si="4"/>
        <v>4.0627232399443073E-4</v>
      </c>
      <c r="W216" s="5">
        <f>V216+W215</f>
        <v>1.7222696150079302E-3</v>
      </c>
      <c r="X216" s="3">
        <f t="shared" si="2"/>
        <v>77.384063135380785</v>
      </c>
      <c r="Y216" s="3">
        <f t="shared" si="5"/>
        <v>2.4323137870621022E-4</v>
      </c>
      <c r="Z216" s="5">
        <f>Y216+Z215</f>
        <v>1.167510784803603E-3</v>
      </c>
      <c r="AA216" s="3">
        <f t="shared" si="3"/>
        <v>177.01611194847123</v>
      </c>
      <c r="AB216" s="3">
        <f t="shared" si="6"/>
        <v>5.5639199103715614E-4</v>
      </c>
      <c r="AC216" s="5">
        <f>AB216+AC215</f>
        <v>2.2346890051513951E-3</v>
      </c>
      <c r="AD216" t="s">
        <v>25</v>
      </c>
    </row>
    <row r="217" spans="1:30" hidden="1" x14ac:dyDescent="0.35">
      <c r="A217" t="s">
        <v>66</v>
      </c>
      <c r="B217" t="s">
        <v>32</v>
      </c>
      <c r="C217" t="s">
        <v>28</v>
      </c>
      <c r="D217">
        <v>0.26</v>
      </c>
      <c r="E217">
        <v>5</v>
      </c>
      <c r="F217" t="s">
        <v>22</v>
      </c>
      <c r="G217" t="s">
        <v>29</v>
      </c>
      <c r="H217" t="s">
        <v>67</v>
      </c>
      <c r="I217">
        <v>1</v>
      </c>
      <c r="J217" t="s">
        <v>24</v>
      </c>
      <c r="K217" s="2" t="s">
        <v>24</v>
      </c>
      <c r="L217" t="s">
        <v>24</v>
      </c>
      <c r="M217" t="s">
        <v>24</v>
      </c>
      <c r="N217" t="s">
        <v>24</v>
      </c>
      <c r="O217" t="s">
        <v>22</v>
      </c>
      <c r="P217">
        <v>24</v>
      </c>
      <c r="Q217" t="s">
        <v>31</v>
      </c>
      <c r="R217" s="2">
        <v>383.96</v>
      </c>
      <c r="S217" s="2">
        <v>139.86013986013899</v>
      </c>
      <c r="T217" s="2">
        <v>466.19975483500798</v>
      </c>
      <c r="U217" s="3">
        <f t="shared" si="1"/>
        <v>31.866544941488918</v>
      </c>
      <c r="V217" s="3">
        <f t="shared" si="4"/>
        <v>1.0016201458899551E-4</v>
      </c>
      <c r="W217" s="5">
        <f>V217+W216</f>
        <v>1.8224316295969258E-3</v>
      </c>
      <c r="X217" s="3">
        <f t="shared" si="2"/>
        <v>11.607613898260352</v>
      </c>
      <c r="Y217" s="3">
        <f t="shared" si="5"/>
        <v>3.6484720723747764E-5</v>
      </c>
      <c r="Z217" s="5">
        <f>Y217+Z216</f>
        <v>1.2039955055273509E-3</v>
      </c>
      <c r="AA217" s="3">
        <f t="shared" si="3"/>
        <v>38.691987288157357</v>
      </c>
      <c r="AB217" s="3">
        <f t="shared" si="6"/>
        <v>1.2161555017494062E-4</v>
      </c>
      <c r="AC217" s="5">
        <f>AB217+AC216</f>
        <v>2.3563045553263357E-3</v>
      </c>
      <c r="AD217" t="s">
        <v>25</v>
      </c>
    </row>
    <row r="218" spans="1:30" hidden="1" x14ac:dyDescent="0.35">
      <c r="A218" t="s">
        <v>66</v>
      </c>
      <c r="B218" t="s">
        <v>32</v>
      </c>
      <c r="C218" t="s">
        <v>42</v>
      </c>
      <c r="D218">
        <v>0.26</v>
      </c>
      <c r="E218">
        <v>5</v>
      </c>
      <c r="F218" t="s">
        <v>22</v>
      </c>
      <c r="G218" t="s">
        <v>29</v>
      </c>
      <c r="H218" t="s">
        <v>67</v>
      </c>
      <c r="I218">
        <v>1</v>
      </c>
      <c r="J218" t="s">
        <v>24</v>
      </c>
      <c r="K218" s="2" t="s">
        <v>24</v>
      </c>
      <c r="L218" t="s">
        <v>24</v>
      </c>
      <c r="M218" t="s">
        <v>24</v>
      </c>
      <c r="N218" t="s">
        <v>24</v>
      </c>
      <c r="O218" t="s">
        <v>68</v>
      </c>
      <c r="P218">
        <v>0.5</v>
      </c>
      <c r="Q218" t="s">
        <v>31</v>
      </c>
      <c r="R218" s="1">
        <v>1148</v>
      </c>
      <c r="S218" s="1">
        <v>1004.71647696466</v>
      </c>
      <c r="T218" s="1">
        <v>1287.7361882237699</v>
      </c>
      <c r="U218" s="3">
        <f t="shared" si="1"/>
        <v>95.27761639970123</v>
      </c>
      <c r="V218" s="3">
        <f>U218/(494.18*1000)</f>
        <v>1.9279941802521599E-4</v>
      </c>
      <c r="W218" s="5">
        <f>V218</f>
        <v>1.9279941802521599E-4</v>
      </c>
      <c r="X218" s="3">
        <f t="shared" si="2"/>
        <v>83.385880734057608</v>
      </c>
      <c r="Y218" s="3">
        <f>X218/(494.18*1000)</f>
        <v>1.6873584672398237E-4</v>
      </c>
      <c r="Z218" s="5">
        <f>Y218</f>
        <v>1.6873584672398237E-4</v>
      </c>
      <c r="AA218" s="3">
        <f t="shared" si="3"/>
        <v>106.87494300139181</v>
      </c>
      <c r="AB218" s="3">
        <f>AA218/(494.18*1000)</f>
        <v>2.162672366372411E-4</v>
      </c>
      <c r="AC218" s="5">
        <f>AB218</f>
        <v>2.162672366372411E-4</v>
      </c>
      <c r="AD218" t="s">
        <v>25</v>
      </c>
    </row>
    <row r="219" spans="1:30" hidden="1" x14ac:dyDescent="0.35">
      <c r="A219" t="s">
        <v>66</v>
      </c>
      <c r="B219" t="s">
        <v>32</v>
      </c>
      <c r="C219" t="s">
        <v>42</v>
      </c>
      <c r="D219">
        <v>0.26</v>
      </c>
      <c r="E219">
        <v>5</v>
      </c>
      <c r="F219" t="s">
        <v>22</v>
      </c>
      <c r="G219" t="s">
        <v>29</v>
      </c>
      <c r="H219" t="s">
        <v>67</v>
      </c>
      <c r="I219">
        <v>1</v>
      </c>
      <c r="J219" t="s">
        <v>24</v>
      </c>
      <c r="K219" s="2" t="s">
        <v>24</v>
      </c>
      <c r="L219" t="s">
        <v>24</v>
      </c>
      <c r="M219" t="s">
        <v>24</v>
      </c>
      <c r="N219" t="s">
        <v>24</v>
      </c>
      <c r="O219" t="s">
        <v>68</v>
      </c>
      <c r="P219">
        <v>0.7</v>
      </c>
      <c r="Q219" t="s">
        <v>31</v>
      </c>
      <c r="R219" s="1">
        <v>430.56</v>
      </c>
      <c r="S219" s="1">
        <v>367.92406996787599</v>
      </c>
      <c r="T219" s="1">
        <v>679.24523412990595</v>
      </c>
      <c r="U219" s="3">
        <f t="shared" si="1"/>
        <v>35.734085816250314</v>
      </c>
      <c r="V219" s="3">
        <f t="shared" ref="V219:V229" si="7">U219/(494.18*1000)</f>
        <v>7.2309858384091456E-5</v>
      </c>
      <c r="W219" s="5">
        <f>V219+W218</f>
        <v>2.6510927640930747E-4</v>
      </c>
      <c r="X219" s="3">
        <f t="shared" si="2"/>
        <v>30.535651918655159</v>
      </c>
      <c r="Y219" s="3">
        <f t="shared" ref="Y219:Y229" si="8">X219/(494.18*1000)</f>
        <v>6.1790545790309516E-5</v>
      </c>
      <c r="Z219" s="5">
        <f>Y219+Z218</f>
        <v>2.305263925142919E-4</v>
      </c>
      <c r="AA219" s="3">
        <f t="shared" si="3"/>
        <v>56.373577403096192</v>
      </c>
      <c r="AB219" s="3">
        <f t="shared" ref="AB219:AB229" si="9">AA219/(494.18*1000)</f>
        <v>1.1407498766258487E-4</v>
      </c>
      <c r="AC219" s="5">
        <f>AB219+AC218</f>
        <v>3.3034222429982596E-4</v>
      </c>
      <c r="AD219" t="s">
        <v>25</v>
      </c>
    </row>
    <row r="220" spans="1:30" hidden="1" x14ac:dyDescent="0.35">
      <c r="A220" t="s">
        <v>66</v>
      </c>
      <c r="B220" t="s">
        <v>32</v>
      </c>
      <c r="C220" t="s">
        <v>42</v>
      </c>
      <c r="D220">
        <v>0.26</v>
      </c>
      <c r="E220">
        <v>5</v>
      </c>
      <c r="F220" t="s">
        <v>22</v>
      </c>
      <c r="G220" t="s">
        <v>29</v>
      </c>
      <c r="H220" t="s">
        <v>67</v>
      </c>
      <c r="I220">
        <v>1</v>
      </c>
      <c r="J220" t="s">
        <v>24</v>
      </c>
      <c r="K220" s="2" t="s">
        <v>24</v>
      </c>
      <c r="L220" t="s">
        <v>24</v>
      </c>
      <c r="M220" t="s">
        <v>24</v>
      </c>
      <c r="N220" t="s">
        <v>24</v>
      </c>
      <c r="O220" t="s">
        <v>68</v>
      </c>
      <c r="P220">
        <v>1</v>
      </c>
      <c r="Q220" t="s">
        <v>31</v>
      </c>
      <c r="R220" s="1">
        <v>2377.9</v>
      </c>
      <c r="S220" s="1">
        <v>2221.6983851523901</v>
      </c>
      <c r="T220" s="1">
        <v>2504.7168008540302</v>
      </c>
      <c r="U220" s="3">
        <f t="shared" si="1"/>
        <v>197.35247738401529</v>
      </c>
      <c r="V220" s="3">
        <f t="shared" si="7"/>
        <v>3.9935342867784064E-4</v>
      </c>
      <c r="W220" s="5">
        <f>V220+W219</f>
        <v>6.6446270508714817E-4</v>
      </c>
      <c r="X220" s="3">
        <f t="shared" si="2"/>
        <v>184.38861193064903</v>
      </c>
      <c r="Y220" s="3">
        <f t="shared" si="8"/>
        <v>3.7312034467329523E-4</v>
      </c>
      <c r="Z220" s="5">
        <f>Y220+Z219</f>
        <v>6.0364673718758712E-4</v>
      </c>
      <c r="AA220" s="3">
        <f t="shared" si="3"/>
        <v>207.87756667391736</v>
      </c>
      <c r="AB220" s="3">
        <f t="shared" si="9"/>
        <v>4.2065151700578201E-4</v>
      </c>
      <c r="AC220" s="5">
        <f>AB220+AC219</f>
        <v>7.5099374130560797E-4</v>
      </c>
      <c r="AD220" t="s">
        <v>25</v>
      </c>
    </row>
    <row r="221" spans="1:30" hidden="1" x14ac:dyDescent="0.35">
      <c r="A221" t="s">
        <v>66</v>
      </c>
      <c r="B221" t="s">
        <v>32</v>
      </c>
      <c r="C221" t="s">
        <v>42</v>
      </c>
      <c r="D221">
        <v>0.26</v>
      </c>
      <c r="E221">
        <v>5</v>
      </c>
      <c r="F221" t="s">
        <v>22</v>
      </c>
      <c r="G221" t="s">
        <v>29</v>
      </c>
      <c r="H221" t="s">
        <v>67</v>
      </c>
      <c r="I221">
        <v>1</v>
      </c>
      <c r="J221" t="s">
        <v>24</v>
      </c>
      <c r="K221" s="2" t="s">
        <v>24</v>
      </c>
      <c r="L221" t="s">
        <v>24</v>
      </c>
      <c r="M221" t="s">
        <v>24</v>
      </c>
      <c r="N221" t="s">
        <v>24</v>
      </c>
      <c r="O221" t="s">
        <v>68</v>
      </c>
      <c r="P221">
        <v>4</v>
      </c>
      <c r="Q221" t="s">
        <v>31</v>
      </c>
      <c r="R221" s="1">
        <v>4930.22</v>
      </c>
      <c r="S221" s="1">
        <v>4669.8109846431098</v>
      </c>
      <c r="T221" s="1">
        <v>5094.3392559742997</v>
      </c>
      <c r="U221" s="3">
        <f t="shared" si="1"/>
        <v>409.18084488339287</v>
      </c>
      <c r="V221" s="3">
        <f t="shared" si="7"/>
        <v>8.2799960517097588E-4</v>
      </c>
      <c r="W221" s="5">
        <f>V221+W220</f>
        <v>1.4924623102581241E-3</v>
      </c>
      <c r="X221" s="3">
        <f t="shared" si="2"/>
        <v>387.56834464628685</v>
      </c>
      <c r="Y221" s="3">
        <f t="shared" si="8"/>
        <v>7.8426554018027207E-4</v>
      </c>
      <c r="Z221" s="5">
        <f>Y221+Z220</f>
        <v>1.3879122773678592E-3</v>
      </c>
      <c r="AA221" s="3">
        <f t="shared" si="3"/>
        <v>422.80183052322184</v>
      </c>
      <c r="AB221" s="3">
        <f t="shared" si="9"/>
        <v>8.5556240746938737E-4</v>
      </c>
      <c r="AC221" s="5">
        <f>AB221+AC220</f>
        <v>1.6065561487749952E-3</v>
      </c>
      <c r="AD221" t="s">
        <v>25</v>
      </c>
    </row>
    <row r="222" spans="1:30" hidden="1" x14ac:dyDescent="0.35">
      <c r="A222" t="s">
        <v>66</v>
      </c>
      <c r="B222" t="s">
        <v>32</v>
      </c>
      <c r="C222" t="s">
        <v>42</v>
      </c>
      <c r="D222">
        <v>0.26</v>
      </c>
      <c r="E222">
        <v>5</v>
      </c>
      <c r="F222" t="s">
        <v>22</v>
      </c>
      <c r="G222" t="s">
        <v>29</v>
      </c>
      <c r="H222" t="s">
        <v>67</v>
      </c>
      <c r="I222">
        <v>1</v>
      </c>
      <c r="J222" t="s">
        <v>24</v>
      </c>
      <c r="K222" s="2" t="s">
        <v>24</v>
      </c>
      <c r="L222" t="s">
        <v>24</v>
      </c>
      <c r="M222" t="s">
        <v>24</v>
      </c>
      <c r="N222" t="s">
        <v>24</v>
      </c>
      <c r="O222" t="s">
        <v>68</v>
      </c>
      <c r="P222">
        <v>8</v>
      </c>
      <c r="Q222" t="s">
        <v>31</v>
      </c>
      <c r="R222" s="1">
        <v>546.89</v>
      </c>
      <c r="S222" s="1">
        <v>452.82972423411502</v>
      </c>
      <c r="T222" s="1">
        <v>707.54668703283005</v>
      </c>
      <c r="U222" s="3">
        <f t="shared" si="1"/>
        <v>45.388828948460457</v>
      </c>
      <c r="V222" s="3">
        <f t="shared" si="7"/>
        <v>9.1846754114817387E-5</v>
      </c>
      <c r="W222" s="5">
        <f>V222+W221</f>
        <v>1.5843090643729413E-3</v>
      </c>
      <c r="X222" s="3">
        <f t="shared" si="2"/>
        <v>37.58234909404225</v>
      </c>
      <c r="Y222" s="3">
        <f t="shared" si="8"/>
        <v>7.6049919248132763E-5</v>
      </c>
      <c r="Z222" s="5">
        <f>Y222+Z221</f>
        <v>1.463962196615992E-3</v>
      </c>
      <c r="AA222" s="3">
        <f t="shared" si="3"/>
        <v>58.722440620203344</v>
      </c>
      <c r="AB222" s="3">
        <f t="shared" si="9"/>
        <v>1.1882803962160214E-4</v>
      </c>
      <c r="AC222" s="5">
        <f>AB222+AC221</f>
        <v>1.7253841883965973E-3</v>
      </c>
      <c r="AD222" t="s">
        <v>25</v>
      </c>
    </row>
    <row r="223" spans="1:30" hidden="1" x14ac:dyDescent="0.35">
      <c r="A223" t="s">
        <v>66</v>
      </c>
      <c r="B223" t="s">
        <v>32</v>
      </c>
      <c r="C223" t="s">
        <v>42</v>
      </c>
      <c r="D223">
        <v>0.26</v>
      </c>
      <c r="E223">
        <v>5</v>
      </c>
      <c r="F223" t="s">
        <v>22</v>
      </c>
      <c r="G223" t="s">
        <v>29</v>
      </c>
      <c r="H223" t="s">
        <v>67</v>
      </c>
      <c r="I223">
        <v>1</v>
      </c>
      <c r="J223" t="s">
        <v>24</v>
      </c>
      <c r="K223" s="2" t="s">
        <v>24</v>
      </c>
      <c r="L223" t="s">
        <v>24</v>
      </c>
      <c r="M223" t="s">
        <v>24</v>
      </c>
      <c r="N223" t="s">
        <v>24</v>
      </c>
      <c r="O223" t="s">
        <v>68</v>
      </c>
      <c r="P223">
        <v>24</v>
      </c>
      <c r="Q223" t="s">
        <v>31</v>
      </c>
      <c r="R223" s="1">
        <v>73.47</v>
      </c>
      <c r="S223" s="1">
        <v>70.754280036042402</v>
      </c>
      <c r="T223" s="1">
        <v>353.77399129514902</v>
      </c>
      <c r="U223" s="3">
        <f t="shared" si="1"/>
        <v>6.0976014607021334</v>
      </c>
      <c r="V223" s="3">
        <f t="shared" si="7"/>
        <v>1.2338826866125973E-5</v>
      </c>
      <c r="W223" s="5">
        <f>V223+W222</f>
        <v>1.5966478912390672E-3</v>
      </c>
      <c r="X223" s="3">
        <f t="shared" si="2"/>
        <v>5.8722118048005978</v>
      </c>
      <c r="Y223" s="3">
        <f t="shared" si="8"/>
        <v>1.1882738687928685E-5</v>
      </c>
      <c r="Z223" s="5">
        <f>Y223+Z222</f>
        <v>1.4758449353039207E-3</v>
      </c>
      <c r="AA223" s="3">
        <f t="shared" si="3"/>
        <v>29.361274072134538</v>
      </c>
      <c r="AB223" s="3">
        <f t="shared" si="9"/>
        <v>5.9414128601186894E-5</v>
      </c>
      <c r="AC223" s="5">
        <f>AB223+AC222</f>
        <v>1.7847983169977841E-3</v>
      </c>
      <c r="AD223" t="s">
        <v>25</v>
      </c>
    </row>
    <row r="224" spans="1:30" hidden="1" x14ac:dyDescent="0.35">
      <c r="A224" t="s">
        <v>66</v>
      </c>
      <c r="B224" t="s">
        <v>32</v>
      </c>
      <c r="C224" t="s">
        <v>28</v>
      </c>
      <c r="D224">
        <v>0.26</v>
      </c>
      <c r="E224">
        <v>5</v>
      </c>
      <c r="F224" t="s">
        <v>22</v>
      </c>
      <c r="G224" t="s">
        <v>29</v>
      </c>
      <c r="H224" t="s">
        <v>67</v>
      </c>
      <c r="I224">
        <v>1</v>
      </c>
      <c r="J224" t="s">
        <v>24</v>
      </c>
      <c r="K224" s="2" t="s">
        <v>24</v>
      </c>
      <c r="L224" t="s">
        <v>24</v>
      </c>
      <c r="M224" t="s">
        <v>24</v>
      </c>
      <c r="N224" t="s">
        <v>24</v>
      </c>
      <c r="O224" t="s">
        <v>68</v>
      </c>
      <c r="P224">
        <v>0.5</v>
      </c>
      <c r="Q224" t="s">
        <v>31</v>
      </c>
      <c r="R224" s="1">
        <v>4075.54</v>
      </c>
      <c r="S224" s="1">
        <v>3320.6647685602202</v>
      </c>
      <c r="T224" s="1">
        <v>4845.6056588725396</v>
      </c>
      <c r="U224" s="3">
        <f t="shared" si="1"/>
        <v>338.24715744045147</v>
      </c>
      <c r="V224" s="3">
        <f t="shared" si="7"/>
        <v>6.8446144611366601E-4</v>
      </c>
      <c r="W224" s="5">
        <f>V224</f>
        <v>6.8446144611366601E-4</v>
      </c>
      <c r="X224" s="3">
        <f t="shared" si="2"/>
        <v>275.59671081087396</v>
      </c>
      <c r="Y224" s="3">
        <f t="shared" si="8"/>
        <v>5.5768487354986842E-4</v>
      </c>
      <c r="Z224" s="5">
        <f>Y224</f>
        <v>5.5768487354986842E-4</v>
      </c>
      <c r="AA224" s="3">
        <f t="shared" si="3"/>
        <v>402.15832507864053</v>
      </c>
      <c r="AB224" s="3">
        <f t="shared" si="9"/>
        <v>8.1378915593233344E-4</v>
      </c>
      <c r="AC224" s="5">
        <f>AB224</f>
        <v>8.1378915593233344E-4</v>
      </c>
      <c r="AD224" t="s">
        <v>25</v>
      </c>
    </row>
    <row r="225" spans="1:30" hidden="1" x14ac:dyDescent="0.35">
      <c r="A225" t="s">
        <v>66</v>
      </c>
      <c r="B225" t="s">
        <v>32</v>
      </c>
      <c r="C225" t="s">
        <v>28</v>
      </c>
      <c r="D225">
        <v>0.26</v>
      </c>
      <c r="E225">
        <v>5</v>
      </c>
      <c r="F225" t="s">
        <v>22</v>
      </c>
      <c r="G225" t="s">
        <v>29</v>
      </c>
      <c r="H225" t="s">
        <v>67</v>
      </c>
      <c r="I225">
        <v>1</v>
      </c>
      <c r="J225" t="s">
        <v>24</v>
      </c>
      <c r="K225" s="2" t="s">
        <v>24</v>
      </c>
      <c r="L225" t="s">
        <v>24</v>
      </c>
      <c r="M225" t="s">
        <v>24</v>
      </c>
      <c r="N225" t="s">
        <v>24</v>
      </c>
      <c r="O225" t="s">
        <v>68</v>
      </c>
      <c r="P225">
        <v>0.7</v>
      </c>
      <c r="Q225" t="s">
        <v>31</v>
      </c>
      <c r="R225" s="1">
        <v>1183.95</v>
      </c>
      <c r="S225" s="1">
        <v>655.58110164474101</v>
      </c>
      <c r="T225" s="1">
        <v>1510.6880209984099</v>
      </c>
      <c r="U225" s="3">
        <f t="shared" si="1"/>
        <v>98.261266495144838</v>
      </c>
      <c r="V225" s="3">
        <f t="shared" si="7"/>
        <v>1.988369956192983E-4</v>
      </c>
      <c r="W225" s="5">
        <f>V225+W224</f>
        <v>8.8329844173296425E-4</v>
      </c>
      <c r="X225" s="3">
        <f t="shared" si="2"/>
        <v>54.409585994251891</v>
      </c>
      <c r="Y225" s="3">
        <f t="shared" si="8"/>
        <v>1.1010074465630315E-4</v>
      </c>
      <c r="Z225" s="5">
        <f>Y225+Z224</f>
        <v>6.6778561820617153E-4</v>
      </c>
      <c r="AA225" s="3">
        <f t="shared" si="3"/>
        <v>125.37870536960827</v>
      </c>
      <c r="AB225" s="3">
        <f t="shared" si="9"/>
        <v>2.5371060214822184E-4</v>
      </c>
      <c r="AC225" s="5">
        <f>AB225+AC224</f>
        <v>1.0674997580805553E-3</v>
      </c>
      <c r="AD225" t="s">
        <v>25</v>
      </c>
    </row>
    <row r="226" spans="1:30" hidden="1" x14ac:dyDescent="0.35">
      <c r="A226" t="s">
        <v>66</v>
      </c>
      <c r="B226" t="s">
        <v>32</v>
      </c>
      <c r="C226" t="s">
        <v>28</v>
      </c>
      <c r="D226">
        <v>0.26</v>
      </c>
      <c r="E226">
        <v>5</v>
      </c>
      <c r="F226" t="s">
        <v>22</v>
      </c>
      <c r="G226" t="s">
        <v>29</v>
      </c>
      <c r="H226" t="s">
        <v>67</v>
      </c>
      <c r="I226">
        <v>1</v>
      </c>
      <c r="J226" t="s">
        <v>24</v>
      </c>
      <c r="K226" s="2" t="s">
        <v>24</v>
      </c>
      <c r="L226" t="s">
        <v>24</v>
      </c>
      <c r="M226" t="s">
        <v>24</v>
      </c>
      <c r="N226" t="s">
        <v>24</v>
      </c>
      <c r="O226" t="s">
        <v>68</v>
      </c>
      <c r="P226">
        <v>1</v>
      </c>
      <c r="Q226" t="s">
        <v>31</v>
      </c>
      <c r="R226" s="1">
        <v>4047.81</v>
      </c>
      <c r="S226" s="1">
        <v>2935.8666548510701</v>
      </c>
      <c r="T226" s="1">
        <v>5159.1446451706197</v>
      </c>
      <c r="U226" s="3">
        <f t="shared" si="1"/>
        <v>335.94572163665038</v>
      </c>
      <c r="V226" s="3">
        <f t="shared" si="7"/>
        <v>6.7980436609464234E-4</v>
      </c>
      <c r="W226" s="5">
        <f>V226+W225</f>
        <v>1.5631028078276067E-3</v>
      </c>
      <c r="X226" s="3">
        <f t="shared" si="2"/>
        <v>243.66060709196367</v>
      </c>
      <c r="Y226" s="3">
        <f t="shared" si="8"/>
        <v>4.9306043767850512E-4</v>
      </c>
      <c r="Z226" s="5">
        <f>Y226+Z225</f>
        <v>1.1608460558846768E-3</v>
      </c>
      <c r="AA226" s="3">
        <f t="shared" si="3"/>
        <v>428.18031746789109</v>
      </c>
      <c r="AB226" s="3">
        <f t="shared" si="9"/>
        <v>8.6644606715749538E-4</v>
      </c>
      <c r="AC226" s="5">
        <f>AB226+AC225</f>
        <v>1.9339458252380507E-3</v>
      </c>
      <c r="AD226" t="s">
        <v>25</v>
      </c>
    </row>
    <row r="227" spans="1:30" hidden="1" x14ac:dyDescent="0.35">
      <c r="A227" t="s">
        <v>66</v>
      </c>
      <c r="B227" t="s">
        <v>32</v>
      </c>
      <c r="C227" t="s">
        <v>28</v>
      </c>
      <c r="D227">
        <v>0.26</v>
      </c>
      <c r="E227">
        <v>5</v>
      </c>
      <c r="F227" t="s">
        <v>22</v>
      </c>
      <c r="G227" t="s">
        <v>29</v>
      </c>
      <c r="H227" t="s">
        <v>67</v>
      </c>
      <c r="I227">
        <v>1</v>
      </c>
      <c r="J227" t="s">
        <v>24</v>
      </c>
      <c r="K227" s="2" t="s">
        <v>24</v>
      </c>
      <c r="L227" t="s">
        <v>24</v>
      </c>
      <c r="M227" t="s">
        <v>24</v>
      </c>
      <c r="N227" t="s">
        <v>24</v>
      </c>
      <c r="O227" t="s">
        <v>68</v>
      </c>
      <c r="P227">
        <v>4</v>
      </c>
      <c r="Q227" t="s">
        <v>31</v>
      </c>
      <c r="R227" s="1">
        <v>5358.38</v>
      </c>
      <c r="S227" s="1">
        <v>4717.3396209694902</v>
      </c>
      <c r="T227" s="1">
        <v>6000</v>
      </c>
      <c r="U227" s="3">
        <f t="shared" si="1"/>
        <v>444.71574404514899</v>
      </c>
      <c r="V227" s="3">
        <f t="shared" si="7"/>
        <v>8.9990639856964865E-4</v>
      </c>
      <c r="W227" s="5">
        <f>V227+W226</f>
        <v>2.4630092063972556E-3</v>
      </c>
      <c r="X227" s="3">
        <f t="shared" si="2"/>
        <v>391.51295717233717</v>
      </c>
      <c r="Y227" s="3">
        <f t="shared" si="8"/>
        <v>7.9224767730854578E-4</v>
      </c>
      <c r="Z227" s="5">
        <f>Y227+Z226</f>
        <v>1.9530937331932226E-3</v>
      </c>
      <c r="AA227" s="3">
        <f t="shared" si="3"/>
        <v>497.96663623537228</v>
      </c>
      <c r="AB227" s="3">
        <f t="shared" si="9"/>
        <v>1.0076624635464249E-3</v>
      </c>
      <c r="AC227" s="5">
        <f>AB227+AC226</f>
        <v>2.9416082887844756E-3</v>
      </c>
      <c r="AD227" t="s">
        <v>25</v>
      </c>
    </row>
    <row r="228" spans="1:30" hidden="1" x14ac:dyDescent="0.35">
      <c r="A228" t="s">
        <v>66</v>
      </c>
      <c r="B228" t="s">
        <v>32</v>
      </c>
      <c r="C228" t="s">
        <v>28</v>
      </c>
      <c r="D228">
        <v>0.26</v>
      </c>
      <c r="E228">
        <v>5</v>
      </c>
      <c r="F228" t="s">
        <v>22</v>
      </c>
      <c r="G228" t="s">
        <v>29</v>
      </c>
      <c r="H228" t="s">
        <v>67</v>
      </c>
      <c r="I228">
        <v>1</v>
      </c>
      <c r="J228" t="s">
        <v>24</v>
      </c>
      <c r="K228" s="2" t="s">
        <v>24</v>
      </c>
      <c r="L228" t="s">
        <v>24</v>
      </c>
      <c r="M228" t="s">
        <v>24</v>
      </c>
      <c r="N228" t="s">
        <v>24</v>
      </c>
      <c r="O228" t="s">
        <v>68</v>
      </c>
      <c r="P228">
        <v>8</v>
      </c>
      <c r="Q228" t="s">
        <v>31</v>
      </c>
      <c r="R228" s="1">
        <v>1759.49</v>
      </c>
      <c r="S228" s="1">
        <v>1425.1773290630399</v>
      </c>
      <c r="T228" s="1">
        <v>1895.48613470756</v>
      </c>
      <c r="U228" s="3">
        <f t="shared" si="1"/>
        <v>146.02788613162917</v>
      </c>
      <c r="V228" s="3">
        <f t="shared" si="7"/>
        <v>2.9549533799754982E-4</v>
      </c>
      <c r="W228" s="5">
        <f>V228+W227</f>
        <v>2.7585045443948054E-3</v>
      </c>
      <c r="X228" s="3">
        <f t="shared" si="2"/>
        <v>118.28179343207236</v>
      </c>
      <c r="Y228" s="3">
        <f t="shared" si="8"/>
        <v>2.3934961639902942E-4</v>
      </c>
      <c r="Z228" s="5">
        <f>Y228+Z227</f>
        <v>2.1924433495922519E-3</v>
      </c>
      <c r="AA228" s="3">
        <f t="shared" si="3"/>
        <v>157.31480908851856</v>
      </c>
      <c r="AB228" s="3">
        <f t="shared" si="9"/>
        <v>3.1833503801958509E-4</v>
      </c>
      <c r="AC228" s="5">
        <f>AB228+AC227</f>
        <v>3.2599433268040608E-3</v>
      </c>
      <c r="AD228" t="s">
        <v>25</v>
      </c>
    </row>
    <row r="229" spans="1:30" hidden="1" x14ac:dyDescent="0.35">
      <c r="A229" t="s">
        <v>66</v>
      </c>
      <c r="B229" t="s">
        <v>32</v>
      </c>
      <c r="C229" t="s">
        <v>28</v>
      </c>
      <c r="D229">
        <v>0.26</v>
      </c>
      <c r="E229">
        <v>5</v>
      </c>
      <c r="F229" t="s">
        <v>22</v>
      </c>
      <c r="G229" t="s">
        <v>29</v>
      </c>
      <c r="H229" t="s">
        <v>67</v>
      </c>
      <c r="I229">
        <v>1</v>
      </c>
      <c r="J229" t="s">
        <v>24</v>
      </c>
      <c r="K229" s="2" t="s">
        <v>24</v>
      </c>
      <c r="L229" t="s">
        <v>24</v>
      </c>
      <c r="M229" t="s">
        <v>24</v>
      </c>
      <c r="N229" t="s">
        <v>24</v>
      </c>
      <c r="O229" t="s">
        <v>68</v>
      </c>
      <c r="P229">
        <v>24</v>
      </c>
      <c r="Q229" t="s">
        <v>31</v>
      </c>
      <c r="R229" s="1">
        <v>213.15</v>
      </c>
      <c r="S229" s="1">
        <v>28.5031290485854</v>
      </c>
      <c r="T229" s="1">
        <v>584.32262662847199</v>
      </c>
      <c r="U229" s="3">
        <f t="shared" si="1"/>
        <v>17.690264752261601</v>
      </c>
      <c r="V229" s="3">
        <f t="shared" si="7"/>
        <v>3.5797209017486746E-5</v>
      </c>
      <c r="W229" s="5">
        <f>V229+W228</f>
        <v>2.7943017534122921E-3</v>
      </c>
      <c r="X229" s="3">
        <f t="shared" si="2"/>
        <v>2.3656012157511328</v>
      </c>
      <c r="Y229" s="3">
        <f t="shared" si="8"/>
        <v>4.7869222059798713E-6</v>
      </c>
      <c r="Z229" s="5">
        <f>Y229+Z228</f>
        <v>2.1972302717982316E-3</v>
      </c>
      <c r="AA229" s="3">
        <f t="shared" si="3"/>
        <v>48.495528809732924</v>
      </c>
      <c r="AB229" s="3">
        <f t="shared" si="9"/>
        <v>9.8133329575727309E-5</v>
      </c>
      <c r="AC229" s="5">
        <f>AB229+AC228</f>
        <v>3.358076656379788E-3</v>
      </c>
      <c r="AD229" t="s">
        <v>25</v>
      </c>
    </row>
    <row r="230" spans="1:30" hidden="1" x14ac:dyDescent="0.35">
      <c r="A230" t="s">
        <v>66</v>
      </c>
      <c r="B230" t="s">
        <v>32</v>
      </c>
      <c r="C230" t="s">
        <v>42</v>
      </c>
      <c r="D230">
        <v>0.26</v>
      </c>
      <c r="E230">
        <v>5</v>
      </c>
      <c r="F230" t="s">
        <v>22</v>
      </c>
      <c r="G230" t="s">
        <v>29</v>
      </c>
      <c r="H230" t="s">
        <v>67</v>
      </c>
      <c r="I230">
        <v>1</v>
      </c>
      <c r="J230" t="s">
        <v>24</v>
      </c>
      <c r="K230" s="2" t="s">
        <v>24</v>
      </c>
      <c r="L230" t="s">
        <v>24</v>
      </c>
      <c r="M230" t="s">
        <v>24</v>
      </c>
      <c r="N230" t="s">
        <v>24</v>
      </c>
      <c r="O230" t="s">
        <v>30</v>
      </c>
      <c r="P230">
        <v>0.5</v>
      </c>
      <c r="Q230" t="s">
        <v>31</v>
      </c>
      <c r="R230" s="1">
        <v>9.18</v>
      </c>
      <c r="S230" s="1">
        <v>3.6127605449027702</v>
      </c>
      <c r="T230" s="1">
        <v>13.7283445388401</v>
      </c>
      <c r="U230" s="3">
        <f t="shared" si="1"/>
        <v>0.76188895344011953</v>
      </c>
      <c r="V230" s="3">
        <f>U230/(320.16*1000)</f>
        <v>2.3797131229389041E-6</v>
      </c>
      <c r="W230" s="5">
        <f>V230</f>
        <v>2.3797131229389041E-6</v>
      </c>
      <c r="X230" s="3">
        <f t="shared" si="2"/>
        <v>0.29983903601151718</v>
      </c>
      <c r="Y230" s="3">
        <f>X230/(320.16*1000)</f>
        <v>9.3652872317440393E-7</v>
      </c>
      <c r="Z230" s="5">
        <f>Y230</f>
        <v>9.3652872317440393E-7</v>
      </c>
      <c r="AA230" s="3">
        <f t="shared" si="3"/>
        <v>1.1393762585144078</v>
      </c>
      <c r="AB230" s="3">
        <f>AA230/(320.16*1000)</f>
        <v>3.5587714221464512E-6</v>
      </c>
      <c r="AC230" s="5">
        <f>AB230</f>
        <v>3.5587714221464512E-6</v>
      </c>
      <c r="AD230" t="s">
        <v>25</v>
      </c>
    </row>
    <row r="231" spans="1:30" hidden="1" x14ac:dyDescent="0.35">
      <c r="A231" t="s">
        <v>66</v>
      </c>
      <c r="B231" t="s">
        <v>32</v>
      </c>
      <c r="C231" t="s">
        <v>42</v>
      </c>
      <c r="D231">
        <v>0.26</v>
      </c>
      <c r="E231">
        <v>5</v>
      </c>
      <c r="F231" t="s">
        <v>22</v>
      </c>
      <c r="G231" t="s">
        <v>29</v>
      </c>
      <c r="H231" t="s">
        <v>67</v>
      </c>
      <c r="I231">
        <v>1</v>
      </c>
      <c r="J231" t="s">
        <v>24</v>
      </c>
      <c r="K231" s="2" t="s">
        <v>24</v>
      </c>
      <c r="L231" t="s">
        <v>24</v>
      </c>
      <c r="M231" t="s">
        <v>24</v>
      </c>
      <c r="N231" t="s">
        <v>24</v>
      </c>
      <c r="O231" t="s">
        <v>30</v>
      </c>
      <c r="P231">
        <v>0.7</v>
      </c>
      <c r="Q231" t="s">
        <v>31</v>
      </c>
      <c r="R231" s="1">
        <v>1.7</v>
      </c>
      <c r="S231" s="1">
        <v>0</v>
      </c>
      <c r="T231" s="1">
        <v>7.9480202781350604</v>
      </c>
      <c r="U231" s="3">
        <f t="shared" si="1"/>
        <v>0.14109054693335546</v>
      </c>
      <c r="V231" s="3">
        <f t="shared" ref="V231:V241" si="10">U231/(320.16*1000)</f>
        <v>4.406876153590563E-7</v>
      </c>
      <c r="W231" s="5">
        <f>V231+W230</f>
        <v>2.8204007382979604E-6</v>
      </c>
      <c r="X231" s="3">
        <f t="shared" si="2"/>
        <v>0</v>
      </c>
      <c r="Y231" s="3">
        <f t="shared" ref="Y231:Y241" si="11">X231/(320.16*1000)</f>
        <v>0</v>
      </c>
      <c r="Z231" s="5">
        <f>Y231+Z230</f>
        <v>9.3652872317440393E-7</v>
      </c>
      <c r="AA231" s="3">
        <f t="shared" si="3"/>
        <v>0.65964148710557402</v>
      </c>
      <c r="AB231" s="3">
        <f t="shared" ref="AB231:AB241" si="12">AA231/(320.16*1000)</f>
        <v>2.0603494724686844E-6</v>
      </c>
      <c r="AC231" s="5">
        <f>AB231+AC230</f>
        <v>5.6191208946151355E-6</v>
      </c>
      <c r="AD231" t="s">
        <v>25</v>
      </c>
    </row>
    <row r="232" spans="1:30" hidden="1" x14ac:dyDescent="0.35">
      <c r="A232" t="s">
        <v>66</v>
      </c>
      <c r="B232" t="s">
        <v>32</v>
      </c>
      <c r="C232" t="s">
        <v>42</v>
      </c>
      <c r="D232">
        <v>0.26</v>
      </c>
      <c r="E232">
        <v>5</v>
      </c>
      <c r="F232" t="s">
        <v>22</v>
      </c>
      <c r="G232" t="s">
        <v>29</v>
      </c>
      <c r="H232" t="s">
        <v>67</v>
      </c>
      <c r="I232">
        <v>1</v>
      </c>
      <c r="J232" t="s">
        <v>24</v>
      </c>
      <c r="K232" s="2" t="s">
        <v>24</v>
      </c>
      <c r="L232" t="s">
        <v>24</v>
      </c>
      <c r="M232" t="s">
        <v>24</v>
      </c>
      <c r="N232" t="s">
        <v>24</v>
      </c>
      <c r="O232" t="s">
        <v>30</v>
      </c>
      <c r="P232">
        <v>1</v>
      </c>
      <c r="Q232" t="s">
        <v>31</v>
      </c>
      <c r="R232" s="1">
        <v>22.94</v>
      </c>
      <c r="S232" s="1">
        <v>15.173409066313001</v>
      </c>
      <c r="T232" s="1">
        <v>28.9017536051532</v>
      </c>
      <c r="U232" s="3">
        <f t="shared" si="1"/>
        <v>1.9038924392065733</v>
      </c>
      <c r="V232" s="3">
        <f t="shared" si="10"/>
        <v>5.9466905272569129E-6</v>
      </c>
      <c r="W232" s="5">
        <f>V232+W231</f>
        <v>8.7670912655548729E-6</v>
      </c>
      <c r="X232" s="3">
        <f t="shared" si="2"/>
        <v>1.2593085788291976</v>
      </c>
      <c r="Y232" s="3">
        <f t="shared" si="11"/>
        <v>3.933372622529977E-6</v>
      </c>
      <c r="Z232" s="5">
        <f>Y232+Z231</f>
        <v>4.8699013457043806E-6</v>
      </c>
      <c r="AA232" s="3">
        <f t="shared" si="3"/>
        <v>2.3986848373436138</v>
      </c>
      <c r="AB232" s="3">
        <f t="shared" si="12"/>
        <v>7.4921440446764548E-6</v>
      </c>
      <c r="AC232" s="5">
        <f>AB232+AC231</f>
        <v>1.311126493929159E-5</v>
      </c>
      <c r="AD232" t="s">
        <v>25</v>
      </c>
    </row>
    <row r="233" spans="1:30" hidden="1" x14ac:dyDescent="0.35">
      <c r="A233" t="s">
        <v>66</v>
      </c>
      <c r="B233" t="s">
        <v>32</v>
      </c>
      <c r="C233" t="s">
        <v>42</v>
      </c>
      <c r="D233">
        <v>0.26</v>
      </c>
      <c r="E233">
        <v>5</v>
      </c>
      <c r="F233" t="s">
        <v>22</v>
      </c>
      <c r="G233" t="s">
        <v>29</v>
      </c>
      <c r="H233" t="s">
        <v>67</v>
      </c>
      <c r="I233">
        <v>1</v>
      </c>
      <c r="J233" t="s">
        <v>24</v>
      </c>
      <c r="K233" s="2" t="s">
        <v>24</v>
      </c>
      <c r="L233" t="s">
        <v>24</v>
      </c>
      <c r="M233" t="s">
        <v>24</v>
      </c>
      <c r="N233" t="s">
        <v>24</v>
      </c>
      <c r="O233" t="s">
        <v>30</v>
      </c>
      <c r="P233">
        <v>4</v>
      </c>
      <c r="Q233" t="s">
        <v>31</v>
      </c>
      <c r="R233" s="1">
        <v>74.66</v>
      </c>
      <c r="S233" s="1">
        <v>67.919091204243799</v>
      </c>
      <c r="T233" s="1">
        <v>80.202338140204205</v>
      </c>
      <c r="U233" s="3">
        <f t="shared" si="1"/>
        <v>6.1963648435554814</v>
      </c>
      <c r="V233" s="3">
        <f t="shared" si="10"/>
        <v>1.9353963154533613E-5</v>
      </c>
      <c r="W233" s="5">
        <f>V233+W232</f>
        <v>2.8121054420088486E-5</v>
      </c>
      <c r="X233" s="3">
        <f t="shared" si="2"/>
        <v>5.6369068971901237</v>
      </c>
      <c r="Y233" s="3">
        <f t="shared" si="11"/>
        <v>1.7606530788324975E-5</v>
      </c>
      <c r="Z233" s="5">
        <f>Y233+Z232</f>
        <v>2.2476432134029355E-5</v>
      </c>
      <c r="AA233" s="3">
        <f t="shared" si="3"/>
        <v>6.6563480903148982</v>
      </c>
      <c r="AB233" s="3">
        <f t="shared" si="12"/>
        <v>2.079069243601605E-5</v>
      </c>
      <c r="AC233" s="5">
        <f>AB233+AC232</f>
        <v>3.3901957375307638E-5</v>
      </c>
      <c r="AD233" t="s">
        <v>25</v>
      </c>
    </row>
    <row r="234" spans="1:30" hidden="1" x14ac:dyDescent="0.35">
      <c r="A234" t="s">
        <v>66</v>
      </c>
      <c r="B234" t="s">
        <v>32</v>
      </c>
      <c r="C234" t="s">
        <v>42</v>
      </c>
      <c r="D234">
        <v>0.26</v>
      </c>
      <c r="E234">
        <v>5</v>
      </c>
      <c r="F234" t="s">
        <v>22</v>
      </c>
      <c r="G234" t="s">
        <v>29</v>
      </c>
      <c r="H234" t="s">
        <v>67</v>
      </c>
      <c r="I234">
        <v>1</v>
      </c>
      <c r="J234" t="s">
        <v>24</v>
      </c>
      <c r="K234" s="2" t="s">
        <v>24</v>
      </c>
      <c r="L234" t="s">
        <v>24</v>
      </c>
      <c r="M234" t="s">
        <v>24</v>
      </c>
      <c r="N234" t="s">
        <v>24</v>
      </c>
      <c r="O234" t="s">
        <v>30</v>
      </c>
      <c r="P234">
        <v>8</v>
      </c>
      <c r="Q234" t="s">
        <v>31</v>
      </c>
      <c r="R234" s="1">
        <v>65.78</v>
      </c>
      <c r="S234" s="1">
        <v>57.080941871162999</v>
      </c>
      <c r="T234" s="1">
        <v>70.086721070859895</v>
      </c>
      <c r="U234" s="3">
        <f t="shared" si="1"/>
        <v>5.4593742219271313</v>
      </c>
      <c r="V234" s="3">
        <f t="shared" si="10"/>
        <v>1.7052018434305134E-5</v>
      </c>
      <c r="W234" s="5">
        <f>V234+W233</f>
        <v>4.5173072854393616E-5</v>
      </c>
      <c r="X234" s="3">
        <f t="shared" si="2"/>
        <v>4.7374007694549753</v>
      </c>
      <c r="Y234" s="3">
        <f t="shared" si="11"/>
        <v>1.4796978915089253E-5</v>
      </c>
      <c r="Z234" s="5">
        <f>Y234+Z233</f>
        <v>3.7273411049118605E-5</v>
      </c>
      <c r="AA234" s="3">
        <f t="shared" si="3"/>
        <v>5.8168081227371484</v>
      </c>
      <c r="AB234" s="3">
        <f t="shared" si="12"/>
        <v>1.8168441162972103E-5</v>
      </c>
      <c r="AC234" s="5">
        <f>AB234+AC233</f>
        <v>5.2070398538279738E-5</v>
      </c>
      <c r="AD234" t="s">
        <v>25</v>
      </c>
    </row>
    <row r="235" spans="1:30" hidden="1" x14ac:dyDescent="0.35">
      <c r="A235" t="s">
        <v>66</v>
      </c>
      <c r="B235" t="s">
        <v>32</v>
      </c>
      <c r="C235" t="s">
        <v>42</v>
      </c>
      <c r="D235">
        <v>0.26</v>
      </c>
      <c r="E235">
        <v>5</v>
      </c>
      <c r="F235" t="s">
        <v>22</v>
      </c>
      <c r="G235" t="s">
        <v>29</v>
      </c>
      <c r="H235" t="s">
        <v>67</v>
      </c>
      <c r="I235">
        <v>1</v>
      </c>
      <c r="J235" t="s">
        <v>24</v>
      </c>
      <c r="K235" s="2" t="s">
        <v>24</v>
      </c>
      <c r="L235" t="s">
        <v>24</v>
      </c>
      <c r="M235" t="s">
        <v>24</v>
      </c>
      <c r="N235" t="s">
        <v>24</v>
      </c>
      <c r="O235" t="s">
        <v>30</v>
      </c>
      <c r="P235">
        <v>24</v>
      </c>
      <c r="Q235" t="s">
        <v>31</v>
      </c>
      <c r="R235" s="1">
        <v>7.44</v>
      </c>
      <c r="S235" s="1">
        <v>2.16762986661614</v>
      </c>
      <c r="T235" s="1">
        <v>15.8959744054563</v>
      </c>
      <c r="U235" s="3">
        <f t="shared" si="1"/>
        <v>0.61747862893186167</v>
      </c>
      <c r="V235" s="3">
        <f t="shared" si="10"/>
        <v>1.9286563872184584E-6</v>
      </c>
      <c r="W235" s="5">
        <f>V235+W234</f>
        <v>4.7101729241612072E-5</v>
      </c>
      <c r="X235" s="3">
        <f t="shared" si="2"/>
        <v>0.17990122554702798</v>
      </c>
      <c r="Y235" s="3">
        <f t="shared" si="11"/>
        <v>5.619103746471389E-7</v>
      </c>
      <c r="Z235" s="5">
        <f>Y235+Z234</f>
        <v>3.7835321423765743E-5</v>
      </c>
      <c r="AA235" s="3">
        <f t="shared" si="3"/>
        <v>1.319277484061441</v>
      </c>
      <c r="AB235" s="3">
        <f t="shared" si="12"/>
        <v>4.1206817967936062E-6</v>
      </c>
      <c r="AC235" s="5">
        <f>AB235+AC234</f>
        <v>5.6191080335073342E-5</v>
      </c>
      <c r="AD235" t="s">
        <v>25</v>
      </c>
    </row>
    <row r="236" spans="1:30" hidden="1" x14ac:dyDescent="0.35">
      <c r="A236" t="s">
        <v>66</v>
      </c>
      <c r="B236" t="s">
        <v>32</v>
      </c>
      <c r="C236" t="s">
        <v>28</v>
      </c>
      <c r="D236">
        <v>0.26</v>
      </c>
      <c r="E236">
        <v>5</v>
      </c>
      <c r="F236" t="s">
        <v>22</v>
      </c>
      <c r="G236" t="s">
        <v>29</v>
      </c>
      <c r="H236" t="s">
        <v>67</v>
      </c>
      <c r="I236">
        <v>1</v>
      </c>
      <c r="J236" t="s">
        <v>24</v>
      </c>
      <c r="K236" s="2" t="s">
        <v>24</v>
      </c>
      <c r="L236" t="s">
        <v>24</v>
      </c>
      <c r="M236" t="s">
        <v>24</v>
      </c>
      <c r="N236" t="s">
        <v>24</v>
      </c>
      <c r="O236" t="s">
        <v>30</v>
      </c>
      <c r="P236">
        <v>0.5</v>
      </c>
      <c r="Q236" t="s">
        <v>31</v>
      </c>
      <c r="R236" s="1">
        <v>46.81</v>
      </c>
      <c r="S236" s="1">
        <v>35.404643205001598</v>
      </c>
      <c r="T236" s="1">
        <v>59.971137076922503</v>
      </c>
      <c r="U236" s="3">
        <f t="shared" si="1"/>
        <v>3.8849697070296294</v>
      </c>
      <c r="V236" s="3">
        <f t="shared" si="10"/>
        <v>1.2134463102916134E-5</v>
      </c>
      <c r="W236" s="5">
        <f>V236</f>
        <v>1.2134463102916134E-5</v>
      </c>
      <c r="X236" s="3">
        <f t="shared" si="2"/>
        <v>2.9383885139846959</v>
      </c>
      <c r="Y236" s="3">
        <f t="shared" si="11"/>
        <v>9.1778751686178652E-6</v>
      </c>
      <c r="Z236" s="5">
        <f>Y236</f>
        <v>9.1778751686178652E-6</v>
      </c>
      <c r="AA236" s="3">
        <f t="shared" si="3"/>
        <v>4.9772709002342523</v>
      </c>
      <c r="AB236" s="3">
        <f t="shared" si="12"/>
        <v>1.5546198464000039E-5</v>
      </c>
      <c r="AC236" s="5">
        <f>AB236</f>
        <v>1.5546198464000039E-5</v>
      </c>
      <c r="AD236" t="s">
        <v>25</v>
      </c>
    </row>
    <row r="237" spans="1:30" hidden="1" x14ac:dyDescent="0.35">
      <c r="A237" t="s">
        <v>66</v>
      </c>
      <c r="B237" t="s">
        <v>32</v>
      </c>
      <c r="C237" t="s">
        <v>28</v>
      </c>
      <c r="D237">
        <v>0.26</v>
      </c>
      <c r="E237">
        <v>5</v>
      </c>
      <c r="F237" t="s">
        <v>22</v>
      </c>
      <c r="G237" t="s">
        <v>29</v>
      </c>
      <c r="H237" t="s">
        <v>67</v>
      </c>
      <c r="I237">
        <v>1</v>
      </c>
      <c r="J237" t="s">
        <v>24</v>
      </c>
      <c r="K237" s="2" t="s">
        <v>24</v>
      </c>
      <c r="L237" t="s">
        <v>24</v>
      </c>
      <c r="M237" t="s">
        <v>24</v>
      </c>
      <c r="N237" t="s">
        <v>24</v>
      </c>
      <c r="O237" t="s">
        <v>30</v>
      </c>
      <c r="P237">
        <v>0.7</v>
      </c>
      <c r="Q237" t="s">
        <v>31</v>
      </c>
      <c r="R237" s="1">
        <v>22.26</v>
      </c>
      <c r="S237" s="1">
        <v>12.2832800113673</v>
      </c>
      <c r="T237" s="1">
        <v>31.069383471769299</v>
      </c>
      <c r="U237" s="3">
        <f t="shared" si="1"/>
        <v>1.8474562204332312</v>
      </c>
      <c r="V237" s="3">
        <f t="shared" si="10"/>
        <v>5.7704154811132911E-6</v>
      </c>
      <c r="W237" s="5">
        <f>V237+W236</f>
        <v>1.7904878584029426E-5</v>
      </c>
      <c r="X237" s="3">
        <f t="shared" si="2"/>
        <v>1.0194439381996265</v>
      </c>
      <c r="Y237" s="3">
        <f t="shared" si="11"/>
        <v>3.1841702217629516E-6</v>
      </c>
      <c r="Z237" s="5">
        <f>Y237+Z236</f>
        <v>1.2362045390380817E-5</v>
      </c>
      <c r="AA237" s="3">
        <f t="shared" si="3"/>
        <v>2.5785860628906381</v>
      </c>
      <c r="AB237" s="3">
        <f t="shared" si="12"/>
        <v>8.0540544193235814E-6</v>
      </c>
      <c r="AC237" s="5">
        <f>AB237+AC236</f>
        <v>2.360025288332362E-5</v>
      </c>
      <c r="AD237" t="s">
        <v>25</v>
      </c>
    </row>
    <row r="238" spans="1:30" hidden="1" x14ac:dyDescent="0.35">
      <c r="A238" t="s">
        <v>66</v>
      </c>
      <c r="B238" t="s">
        <v>32</v>
      </c>
      <c r="C238" t="s">
        <v>28</v>
      </c>
      <c r="D238">
        <v>0.26</v>
      </c>
      <c r="E238">
        <v>5</v>
      </c>
      <c r="F238" t="s">
        <v>22</v>
      </c>
      <c r="G238" t="s">
        <v>29</v>
      </c>
      <c r="H238" t="s">
        <v>67</v>
      </c>
      <c r="I238">
        <v>1</v>
      </c>
      <c r="J238" t="s">
        <v>24</v>
      </c>
      <c r="K238" s="2" t="s">
        <v>24</v>
      </c>
      <c r="L238" t="s">
        <v>24</v>
      </c>
      <c r="M238" t="s">
        <v>24</v>
      </c>
      <c r="N238" t="s">
        <v>24</v>
      </c>
      <c r="O238" t="s">
        <v>30</v>
      </c>
      <c r="P238">
        <v>1</v>
      </c>
      <c r="Q238" t="s">
        <v>31</v>
      </c>
      <c r="R238" s="1">
        <v>112.79</v>
      </c>
      <c r="S238" s="1">
        <v>65.028929073891206</v>
      </c>
      <c r="T238" s="1">
        <v>158.95954560212101</v>
      </c>
      <c r="U238" s="3">
        <f t="shared" si="1"/>
        <v>9.3609428168312725</v>
      </c>
      <c r="V238" s="3">
        <f t="shared" si="10"/>
        <v>2.9238327139028212E-5</v>
      </c>
      <c r="W238" s="5">
        <f>V238+W237</f>
        <v>4.7143205723057641E-5</v>
      </c>
      <c r="X238" s="3">
        <f t="shared" si="2"/>
        <v>5.3970395114857004</v>
      </c>
      <c r="Y238" s="3">
        <f t="shared" si="11"/>
        <v>1.6857319813486069E-5</v>
      </c>
      <c r="Z238" s="5">
        <f>Y238+Z237</f>
        <v>2.9219365203866886E-5</v>
      </c>
      <c r="AA238" s="3">
        <f t="shared" si="3"/>
        <v>13.192758370165244</v>
      </c>
      <c r="AB238" s="3">
        <f t="shared" si="12"/>
        <v>4.1206766523504634E-5</v>
      </c>
      <c r="AC238" s="5">
        <f>AB238+AC237</f>
        <v>6.4807019406828254E-5</v>
      </c>
      <c r="AD238" t="s">
        <v>25</v>
      </c>
    </row>
    <row r="239" spans="1:30" hidden="1" x14ac:dyDescent="0.35">
      <c r="A239" t="s">
        <v>66</v>
      </c>
      <c r="B239" t="s">
        <v>32</v>
      </c>
      <c r="C239" t="s">
        <v>28</v>
      </c>
      <c r="D239">
        <v>0.26</v>
      </c>
      <c r="E239">
        <v>5</v>
      </c>
      <c r="F239" t="s">
        <v>22</v>
      </c>
      <c r="G239" t="s">
        <v>29</v>
      </c>
      <c r="H239" t="s">
        <v>67</v>
      </c>
      <c r="I239">
        <v>1</v>
      </c>
      <c r="J239" t="s">
        <v>24</v>
      </c>
      <c r="K239" s="2" t="s">
        <v>24</v>
      </c>
      <c r="L239" t="s">
        <v>24</v>
      </c>
      <c r="M239" t="s">
        <v>24</v>
      </c>
      <c r="N239" t="s">
        <v>24</v>
      </c>
      <c r="O239" t="s">
        <v>30</v>
      </c>
      <c r="P239">
        <v>4</v>
      </c>
      <c r="Q239" t="s">
        <v>31</v>
      </c>
      <c r="R239" s="1">
        <v>190.44</v>
      </c>
      <c r="S239" s="1">
        <v>162.57227307161699</v>
      </c>
      <c r="T239" s="1">
        <v>214.595389870405</v>
      </c>
      <c r="U239" s="3">
        <f t="shared" si="1"/>
        <v>15.805461034110715</v>
      </c>
      <c r="V239" s="3">
        <f t="shared" si="10"/>
        <v>4.9367382040575699E-5</v>
      </c>
      <c r="W239" s="5">
        <f>V239+W238</f>
        <v>9.6510587763633346E-5</v>
      </c>
      <c r="X239" s="3">
        <f t="shared" si="2"/>
        <v>13.492594661101917</v>
      </c>
      <c r="Y239" s="3">
        <f t="shared" si="11"/>
        <v>4.2143286672607188E-5</v>
      </c>
      <c r="Z239" s="5">
        <f>Y239+Z238</f>
        <v>7.1362651876474077E-5</v>
      </c>
      <c r="AA239" s="3">
        <f t="shared" si="3"/>
        <v>17.810224074230643</v>
      </c>
      <c r="AB239" s="3">
        <f t="shared" si="12"/>
        <v>5.5629135664138688E-5</v>
      </c>
      <c r="AC239" s="5">
        <f>AB239+AC238</f>
        <v>1.2043615507096694E-4</v>
      </c>
      <c r="AD239" t="s">
        <v>25</v>
      </c>
    </row>
    <row r="240" spans="1:30" hidden="1" x14ac:dyDescent="0.35">
      <c r="A240" t="s">
        <v>66</v>
      </c>
      <c r="B240" t="s">
        <v>32</v>
      </c>
      <c r="C240" t="s">
        <v>28</v>
      </c>
      <c r="D240">
        <v>0.26</v>
      </c>
      <c r="E240">
        <v>5</v>
      </c>
      <c r="F240" t="s">
        <v>22</v>
      </c>
      <c r="G240" t="s">
        <v>29</v>
      </c>
      <c r="H240" t="s">
        <v>67</v>
      </c>
      <c r="I240">
        <v>1</v>
      </c>
      <c r="J240" t="s">
        <v>24</v>
      </c>
      <c r="K240" s="2" t="s">
        <v>24</v>
      </c>
      <c r="L240" t="s">
        <v>24</v>
      </c>
      <c r="M240" t="s">
        <v>24</v>
      </c>
      <c r="N240" t="s">
        <v>24</v>
      </c>
      <c r="O240" t="s">
        <v>30</v>
      </c>
      <c r="P240">
        <v>8</v>
      </c>
      <c r="Q240" t="s">
        <v>31</v>
      </c>
      <c r="R240" s="1">
        <v>68.41</v>
      </c>
      <c r="S240" s="1">
        <v>42.630098143993301</v>
      </c>
      <c r="T240" s="1">
        <v>96.098279470253601</v>
      </c>
      <c r="U240" s="3">
        <f t="shared" si="1"/>
        <v>5.677649597476969</v>
      </c>
      <c r="V240" s="3">
        <f t="shared" si="10"/>
        <v>1.7733788098066493E-5</v>
      </c>
      <c r="W240" s="5">
        <f>V240+W239</f>
        <v>1.1424437586169984E-4</v>
      </c>
      <c r="X240" s="3">
        <f t="shared" si="2"/>
        <v>3.5380610958580219</v>
      </c>
      <c r="Y240" s="3">
        <f t="shared" si="11"/>
        <v>1.1050915466822907E-5</v>
      </c>
      <c r="Z240" s="5">
        <f>Y240+Z239</f>
        <v>8.2413567343296988E-5</v>
      </c>
      <c r="AA240" s="3">
        <f t="shared" si="3"/>
        <v>7.9756228293014857</v>
      </c>
      <c r="AB240" s="3">
        <f t="shared" si="12"/>
        <v>2.4911365658737775E-5</v>
      </c>
      <c r="AC240" s="5">
        <f>AB240+AC239</f>
        <v>1.4534752072970471E-4</v>
      </c>
      <c r="AD240" t="s">
        <v>25</v>
      </c>
    </row>
    <row r="241" spans="1:30" hidden="1" x14ac:dyDescent="0.35">
      <c r="A241" t="s">
        <v>66</v>
      </c>
      <c r="B241" t="s">
        <v>32</v>
      </c>
      <c r="C241" t="s">
        <v>28</v>
      </c>
      <c r="D241">
        <v>0.26</v>
      </c>
      <c r="E241">
        <v>5</v>
      </c>
      <c r="F241" t="s">
        <v>22</v>
      </c>
      <c r="G241" t="s">
        <v>29</v>
      </c>
      <c r="H241" t="s">
        <v>67</v>
      </c>
      <c r="I241">
        <v>1</v>
      </c>
      <c r="J241" t="s">
        <v>24</v>
      </c>
      <c r="K241" s="2" t="s">
        <v>24</v>
      </c>
      <c r="L241" t="s">
        <v>24</v>
      </c>
      <c r="M241" t="s">
        <v>24</v>
      </c>
      <c r="N241" t="s">
        <v>24</v>
      </c>
      <c r="O241" t="s">
        <v>30</v>
      </c>
      <c r="P241">
        <v>24</v>
      </c>
      <c r="Q241" t="s">
        <v>31</v>
      </c>
      <c r="R241" s="1">
        <v>31.2</v>
      </c>
      <c r="S241" s="1">
        <v>20.9537994778319</v>
      </c>
      <c r="T241" s="1">
        <v>52.7456821379307</v>
      </c>
      <c r="U241" s="3">
        <f t="shared" si="1"/>
        <v>2.5894265084239358</v>
      </c>
      <c r="V241" s="3">
        <f t="shared" si="10"/>
        <v>8.0879138818838568E-6</v>
      </c>
      <c r="W241" s="5">
        <f>V241+W240</f>
        <v>1.2233228974358368E-4</v>
      </c>
      <c r="X241" s="3">
        <f t="shared" si="2"/>
        <v>1.7390488403877418</v>
      </c>
      <c r="Y241" s="3">
        <f t="shared" si="11"/>
        <v>5.4318117203515174E-6</v>
      </c>
      <c r="Z241" s="5">
        <f>Y241+Z240</f>
        <v>8.7845379063648509E-5</v>
      </c>
      <c r="AA241" s="3">
        <f t="shared" si="3"/>
        <v>4.377598318360918</v>
      </c>
      <c r="AB241" s="3">
        <f t="shared" si="12"/>
        <v>1.3673158165794971E-5</v>
      </c>
      <c r="AC241" s="5">
        <f>AB241+AC240</f>
        <v>1.5902067889549966E-4</v>
      </c>
      <c r="AD241" t="s">
        <v>25</v>
      </c>
    </row>
    <row r="242" spans="1:30" hidden="1" x14ac:dyDescent="0.35">
      <c r="A242" t="s">
        <v>66</v>
      </c>
      <c r="B242" t="s">
        <v>32</v>
      </c>
      <c r="C242" t="s">
        <v>42</v>
      </c>
      <c r="D242">
        <v>0.26</v>
      </c>
      <c r="E242">
        <v>5</v>
      </c>
      <c r="F242" t="s">
        <v>22</v>
      </c>
      <c r="G242" t="s">
        <v>29</v>
      </c>
      <c r="H242" t="s">
        <v>67</v>
      </c>
      <c r="I242">
        <v>1</v>
      </c>
      <c r="J242" t="s">
        <v>24</v>
      </c>
      <c r="K242" s="2" t="s">
        <v>24</v>
      </c>
      <c r="L242" t="s">
        <v>24</v>
      </c>
      <c r="M242" t="s">
        <v>24</v>
      </c>
      <c r="N242" t="s">
        <v>24</v>
      </c>
      <c r="O242" t="s">
        <v>69</v>
      </c>
      <c r="P242">
        <v>0.5</v>
      </c>
      <c r="Q242" t="s">
        <v>31</v>
      </c>
      <c r="R242" s="1">
        <v>97.63</v>
      </c>
      <c r="S242" s="1">
        <v>39.8950772022637</v>
      </c>
      <c r="T242" s="1">
        <v>174.27815114419201</v>
      </c>
      <c r="U242" s="3">
        <f t="shared" si="1"/>
        <v>8.1027471159432309</v>
      </c>
      <c r="V242" s="3">
        <f>U242/(496.191*1000)</f>
        <v>1.6329895374852083E-5</v>
      </c>
      <c r="W242" s="5">
        <f>V242</f>
        <v>1.6329895374852083E-5</v>
      </c>
      <c r="X242" s="3">
        <f t="shared" si="2"/>
        <v>3.3110695661269567</v>
      </c>
      <c r="Y242" s="3">
        <f>X242/(496.191*1000)</f>
        <v>6.672973847020516E-6</v>
      </c>
      <c r="Z242" s="5">
        <f>Y242</f>
        <v>6.672973847020516E-6</v>
      </c>
      <c r="AA242" s="3">
        <f t="shared" si="3"/>
        <v>14.464117449098847</v>
      </c>
      <c r="AB242" s="3">
        <f>AA242/(496.191*1000)</f>
        <v>2.9150301898057094E-5</v>
      </c>
      <c r="AC242" s="5">
        <f>AB242</f>
        <v>2.9150301898057094E-5</v>
      </c>
      <c r="AD242" t="s">
        <v>25</v>
      </c>
    </row>
    <row r="243" spans="1:30" hidden="1" x14ac:dyDescent="0.35">
      <c r="A243" t="s">
        <v>66</v>
      </c>
      <c r="B243" t="s">
        <v>32</v>
      </c>
      <c r="C243" t="s">
        <v>42</v>
      </c>
      <c r="D243">
        <v>0.26</v>
      </c>
      <c r="E243">
        <v>5</v>
      </c>
      <c r="F243" t="s">
        <v>22</v>
      </c>
      <c r="G243" t="s">
        <v>29</v>
      </c>
      <c r="H243" t="s">
        <v>67</v>
      </c>
      <c r="I243">
        <v>1</v>
      </c>
      <c r="J243" t="s">
        <v>24</v>
      </c>
      <c r="K243" s="2" t="s">
        <v>24</v>
      </c>
      <c r="L243" t="s">
        <v>24</v>
      </c>
      <c r="M243" t="s">
        <v>24</v>
      </c>
      <c r="N243" t="s">
        <v>24</v>
      </c>
      <c r="O243" t="s">
        <v>69</v>
      </c>
      <c r="P243">
        <v>0.7</v>
      </c>
      <c r="Q243" t="s">
        <v>31</v>
      </c>
      <c r="R243" s="1">
        <v>48.32</v>
      </c>
      <c r="S243" s="1">
        <v>48.32</v>
      </c>
      <c r="T243" s="1">
        <v>48.32</v>
      </c>
      <c r="U243" s="3">
        <f t="shared" si="1"/>
        <v>4.0102913104821978</v>
      </c>
      <c r="V243" s="3">
        <f t="shared" ref="V243:V253" si="13">U243/(496.191*1000)</f>
        <v>8.0821524583924291E-6</v>
      </c>
      <c r="W243" s="5">
        <f>V243+W242</f>
        <v>2.4412047833244513E-5</v>
      </c>
      <c r="X243" s="3">
        <f t="shared" si="2"/>
        <v>4.0102913104821978</v>
      </c>
      <c r="Y243" s="3">
        <f t="shared" ref="Y243:Y253" si="14">X243/(496.191*1000)</f>
        <v>8.0821524583924291E-6</v>
      </c>
      <c r="Z243" s="5">
        <f>Y243+Z242</f>
        <v>1.4755126305412945E-5</v>
      </c>
      <c r="AA243" s="3">
        <f t="shared" si="3"/>
        <v>4.0102913104821978</v>
      </c>
      <c r="AB243" s="3">
        <f t="shared" ref="AB243:AB253" si="15">AA243/(496.191*1000)</f>
        <v>8.0821524583924291E-6</v>
      </c>
      <c r="AC243" s="5">
        <f>AB243+AC242</f>
        <v>3.7232454356449523E-5</v>
      </c>
      <c r="AD243" t="s">
        <v>25</v>
      </c>
    </row>
    <row r="244" spans="1:30" hidden="1" x14ac:dyDescent="0.35">
      <c r="A244" t="s">
        <v>66</v>
      </c>
      <c r="B244" t="s">
        <v>32</v>
      </c>
      <c r="C244" t="s">
        <v>42</v>
      </c>
      <c r="D244">
        <v>0.26</v>
      </c>
      <c r="E244">
        <v>5</v>
      </c>
      <c r="F244" t="s">
        <v>22</v>
      </c>
      <c r="G244" t="s">
        <v>29</v>
      </c>
      <c r="H244" t="s">
        <v>67</v>
      </c>
      <c r="I244">
        <v>1</v>
      </c>
      <c r="J244" t="s">
        <v>24</v>
      </c>
      <c r="K244" s="2" t="s">
        <v>24</v>
      </c>
      <c r="L244" t="s">
        <v>24</v>
      </c>
      <c r="M244" t="s">
        <v>24</v>
      </c>
      <c r="N244" t="s">
        <v>24</v>
      </c>
      <c r="O244" t="s">
        <v>69</v>
      </c>
      <c r="P244">
        <v>1</v>
      </c>
      <c r="Q244" t="s">
        <v>31</v>
      </c>
      <c r="R244" s="1">
        <v>235.6</v>
      </c>
      <c r="S244" s="1">
        <v>134.38326617864101</v>
      </c>
      <c r="T244" s="1">
        <v>327.55905511811</v>
      </c>
      <c r="U244" s="3">
        <f t="shared" si="1"/>
        <v>19.553489916175618</v>
      </c>
      <c r="V244" s="3">
        <f t="shared" si="13"/>
        <v>3.9407183758221364E-5</v>
      </c>
      <c r="W244" s="5">
        <f>V244+W243</f>
        <v>6.3819231591465874E-5</v>
      </c>
      <c r="X244" s="3">
        <f t="shared" si="2"/>
        <v>11.153063837550087</v>
      </c>
      <c r="Y244" s="3">
        <f t="shared" si="14"/>
        <v>2.2477360205142953E-5</v>
      </c>
      <c r="Z244" s="5">
        <f>Y244+Z243</f>
        <v>3.72324865105559E-5</v>
      </c>
      <c r="AA244" s="3">
        <f t="shared" si="3"/>
        <v>27.185580140933688</v>
      </c>
      <c r="AB244" s="3">
        <f t="shared" si="15"/>
        <v>5.478853937482479E-5</v>
      </c>
      <c r="AC244" s="5">
        <f>AB244+AC243</f>
        <v>9.2020993731274314E-5</v>
      </c>
      <c r="AD244" t="s">
        <v>25</v>
      </c>
    </row>
    <row r="245" spans="1:30" hidden="1" x14ac:dyDescent="0.35">
      <c r="A245" t="s">
        <v>66</v>
      </c>
      <c r="B245" t="s">
        <v>32</v>
      </c>
      <c r="C245" t="s">
        <v>42</v>
      </c>
      <c r="D245">
        <v>0.26</v>
      </c>
      <c r="E245">
        <v>5</v>
      </c>
      <c r="F245" t="s">
        <v>22</v>
      </c>
      <c r="G245" t="s">
        <v>29</v>
      </c>
      <c r="H245" t="s">
        <v>67</v>
      </c>
      <c r="I245">
        <v>1</v>
      </c>
      <c r="J245" t="s">
        <v>24</v>
      </c>
      <c r="K245" s="2" t="s">
        <v>24</v>
      </c>
      <c r="L245" t="s">
        <v>24</v>
      </c>
      <c r="M245" t="s">
        <v>24</v>
      </c>
      <c r="N245" t="s">
        <v>24</v>
      </c>
      <c r="O245" t="s">
        <v>69</v>
      </c>
      <c r="P245">
        <v>4</v>
      </c>
      <c r="Q245" t="s">
        <v>31</v>
      </c>
      <c r="R245" s="1">
        <v>704</v>
      </c>
      <c r="S245" s="1">
        <v>617.32283464566899</v>
      </c>
      <c r="T245" s="1">
        <v>802.099801611712</v>
      </c>
      <c r="U245" s="3">
        <f t="shared" si="1"/>
        <v>58.428085318283678</v>
      </c>
      <c r="V245" s="3">
        <f t="shared" si="13"/>
        <v>1.1775321462558507E-4</v>
      </c>
      <c r="W245" s="5">
        <f>V245+W244</f>
        <v>1.8157244621705096E-4</v>
      </c>
      <c r="X245" s="3">
        <f t="shared" si="2"/>
        <v>51.234362573298121</v>
      </c>
      <c r="Y245" s="3">
        <f t="shared" si="14"/>
        <v>1.032553242064006E-4</v>
      </c>
      <c r="Z245" s="5">
        <f>Y245+Z244</f>
        <v>1.404878107169565E-4</v>
      </c>
      <c r="AA245" s="3">
        <f t="shared" si="3"/>
        <v>66.569823355607269</v>
      </c>
      <c r="AB245" s="3">
        <f t="shared" si="15"/>
        <v>1.3416169046920898E-4</v>
      </c>
      <c r="AC245" s="5">
        <f>AB245+AC244</f>
        <v>2.2618268420048328E-4</v>
      </c>
      <c r="AD245" t="s">
        <v>25</v>
      </c>
    </row>
    <row r="246" spans="1:30" hidden="1" x14ac:dyDescent="0.35">
      <c r="A246" t="s">
        <v>66</v>
      </c>
      <c r="B246" t="s">
        <v>32</v>
      </c>
      <c r="C246" t="s">
        <v>42</v>
      </c>
      <c r="D246">
        <v>0.26</v>
      </c>
      <c r="E246">
        <v>5</v>
      </c>
      <c r="F246" t="s">
        <v>22</v>
      </c>
      <c r="G246" t="s">
        <v>29</v>
      </c>
      <c r="H246" t="s">
        <v>67</v>
      </c>
      <c r="I246">
        <v>1</v>
      </c>
      <c r="J246" t="s">
        <v>24</v>
      </c>
      <c r="K246" s="2" t="s">
        <v>24</v>
      </c>
      <c r="L246" t="s">
        <v>24</v>
      </c>
      <c r="M246" t="s">
        <v>24</v>
      </c>
      <c r="N246" t="s">
        <v>24</v>
      </c>
      <c r="O246" t="s">
        <v>69</v>
      </c>
      <c r="P246">
        <v>8</v>
      </c>
      <c r="Q246" t="s">
        <v>31</v>
      </c>
      <c r="R246" s="1">
        <v>184.37</v>
      </c>
      <c r="S246" s="1">
        <v>128.08405358021599</v>
      </c>
      <c r="T246" s="1">
        <v>245.66929133858201</v>
      </c>
      <c r="U246" s="3">
        <f t="shared" si="1"/>
        <v>15.301684787119264</v>
      </c>
      <c r="V246" s="3">
        <f t="shared" si="13"/>
        <v>3.0838295710964659E-5</v>
      </c>
      <c r="W246" s="5">
        <f>V246+W245</f>
        <v>2.1241074192801561E-4</v>
      </c>
      <c r="X246" s="3">
        <f t="shared" si="2"/>
        <v>10.630264219455224</v>
      </c>
      <c r="Y246" s="3">
        <f t="shared" si="14"/>
        <v>2.1423734447934817E-5</v>
      </c>
      <c r="Z246" s="5">
        <f>Y246+Z245</f>
        <v>1.619115451648913E-4</v>
      </c>
      <c r="AA246" s="3">
        <f t="shared" si="3"/>
        <v>20.389185105700225</v>
      </c>
      <c r="AB246" s="3">
        <f t="shared" si="15"/>
        <v>4.1091404531118513E-5</v>
      </c>
      <c r="AC246" s="5">
        <f>AB246+AC245</f>
        <v>2.6727408873160178E-4</v>
      </c>
      <c r="AD246" t="s">
        <v>25</v>
      </c>
    </row>
    <row r="247" spans="1:30" hidden="1" x14ac:dyDescent="0.35">
      <c r="A247" t="s">
        <v>66</v>
      </c>
      <c r="B247" t="s">
        <v>32</v>
      </c>
      <c r="C247" t="s">
        <v>42</v>
      </c>
      <c r="D247">
        <v>0.26</v>
      </c>
      <c r="E247">
        <v>5</v>
      </c>
      <c r="F247" t="s">
        <v>22</v>
      </c>
      <c r="G247" t="s">
        <v>29</v>
      </c>
      <c r="H247" t="s">
        <v>67</v>
      </c>
      <c r="I247">
        <v>1</v>
      </c>
      <c r="J247" t="s">
        <v>24</v>
      </c>
      <c r="K247" s="2" t="s">
        <v>24</v>
      </c>
      <c r="L247" t="s">
        <v>24</v>
      </c>
      <c r="M247" t="s">
        <v>24</v>
      </c>
      <c r="N247" t="s">
        <v>24</v>
      </c>
      <c r="O247" t="s">
        <v>69</v>
      </c>
      <c r="P247">
        <v>24</v>
      </c>
      <c r="Q247" t="s">
        <v>31</v>
      </c>
      <c r="R247" s="1">
        <v>23.29</v>
      </c>
      <c r="S247" s="1">
        <v>2.0998016117125902</v>
      </c>
      <c r="T247" s="1">
        <v>65.091927595964506</v>
      </c>
      <c r="U247" s="3">
        <f t="shared" si="1"/>
        <v>1.9329404929869698</v>
      </c>
      <c r="V247" s="3">
        <f t="shared" si="13"/>
        <v>3.895557341803801E-6</v>
      </c>
      <c r="W247" s="5">
        <f>V247+W246</f>
        <v>2.1630629926981941E-4</v>
      </c>
      <c r="X247" s="3">
        <f t="shared" si="2"/>
        <v>0.17427185755768862</v>
      </c>
      <c r="Y247" s="3">
        <f t="shared" si="14"/>
        <v>3.5121930377150858E-7</v>
      </c>
      <c r="Z247" s="5">
        <f>Y247+Z246</f>
        <v>1.6226276446866281E-4</v>
      </c>
      <c r="AA247" s="3">
        <f t="shared" si="3"/>
        <v>5.4022680385064747</v>
      </c>
      <c r="AB247" s="3">
        <f t="shared" si="15"/>
        <v>1.0887476875853199E-5</v>
      </c>
      <c r="AC247" s="5">
        <f>AB247+AC246</f>
        <v>2.7816156560745499E-4</v>
      </c>
      <c r="AD247" t="s">
        <v>25</v>
      </c>
    </row>
    <row r="248" spans="1:30" hidden="1" x14ac:dyDescent="0.35">
      <c r="A248" t="s">
        <v>66</v>
      </c>
      <c r="B248" t="s">
        <v>32</v>
      </c>
      <c r="C248" t="s">
        <v>28</v>
      </c>
      <c r="D248">
        <v>0.26</v>
      </c>
      <c r="E248">
        <v>5</v>
      </c>
      <c r="F248" t="s">
        <v>22</v>
      </c>
      <c r="G248" t="s">
        <v>29</v>
      </c>
      <c r="H248" t="s">
        <v>67</v>
      </c>
      <c r="I248">
        <v>1</v>
      </c>
      <c r="J248" t="s">
        <v>24</v>
      </c>
      <c r="K248" s="2" t="s">
        <v>24</v>
      </c>
      <c r="L248" t="s">
        <v>24</v>
      </c>
      <c r="M248" t="s">
        <v>24</v>
      </c>
      <c r="N248" t="s">
        <v>24</v>
      </c>
      <c r="O248" t="s">
        <v>69</v>
      </c>
      <c r="P248">
        <v>0.5</v>
      </c>
      <c r="Q248" t="s">
        <v>31</v>
      </c>
      <c r="R248" s="1">
        <v>37.200000000000003</v>
      </c>
      <c r="S248" s="1">
        <v>0</v>
      </c>
      <c r="T248" s="1">
        <v>73.490749569389706</v>
      </c>
      <c r="U248" s="3">
        <f t="shared" si="1"/>
        <v>3.0873931446593081</v>
      </c>
      <c r="V248" s="3">
        <f t="shared" si="13"/>
        <v>6.2221869091928475E-6</v>
      </c>
      <c r="W248" s="5">
        <f>V248</f>
        <v>6.2221869091928475E-6</v>
      </c>
      <c r="X248" s="3">
        <f t="shared" si="2"/>
        <v>0</v>
      </c>
      <c r="Y248" s="3">
        <f t="shared" si="14"/>
        <v>0</v>
      </c>
      <c r="Z248" s="5">
        <f>Y248</f>
        <v>0</v>
      </c>
      <c r="AA248" s="3">
        <f t="shared" si="3"/>
        <v>6.0993235595808537</v>
      </c>
      <c r="AB248" s="3">
        <f t="shared" si="15"/>
        <v>1.2292289782726518E-5</v>
      </c>
      <c r="AC248" s="5">
        <f>AB248</f>
        <v>1.2292289782726518E-5</v>
      </c>
      <c r="AD248" t="s">
        <v>25</v>
      </c>
    </row>
    <row r="249" spans="1:30" hidden="1" x14ac:dyDescent="0.35">
      <c r="A249" t="s">
        <v>66</v>
      </c>
      <c r="B249" t="s">
        <v>32</v>
      </c>
      <c r="C249" t="s">
        <v>28</v>
      </c>
      <c r="D249">
        <v>0.26</v>
      </c>
      <c r="E249">
        <v>5</v>
      </c>
      <c r="F249" t="s">
        <v>22</v>
      </c>
      <c r="G249" t="s">
        <v>29</v>
      </c>
      <c r="H249" t="s">
        <v>67</v>
      </c>
      <c r="I249">
        <v>1</v>
      </c>
      <c r="J249" t="s">
        <v>24</v>
      </c>
      <c r="K249" s="2" t="s">
        <v>24</v>
      </c>
      <c r="L249" t="s">
        <v>24</v>
      </c>
      <c r="M249" t="s">
        <v>24</v>
      </c>
      <c r="N249" t="s">
        <v>24</v>
      </c>
      <c r="O249" t="s">
        <v>69</v>
      </c>
      <c r="P249">
        <v>0.7</v>
      </c>
      <c r="Q249" t="s">
        <v>31</v>
      </c>
      <c r="R249" s="1">
        <v>33.82</v>
      </c>
      <c r="S249" s="1">
        <v>0</v>
      </c>
      <c r="T249" s="1">
        <v>73.490749569389706</v>
      </c>
      <c r="U249" s="3">
        <f t="shared" si="1"/>
        <v>2.8068719395800481</v>
      </c>
      <c r="V249" s="3">
        <f t="shared" si="13"/>
        <v>5.6568376685188734E-6</v>
      </c>
      <c r="W249" s="5">
        <f>V249+W248</f>
        <v>1.1879024577711722E-5</v>
      </c>
      <c r="X249" s="3">
        <f t="shared" si="2"/>
        <v>0</v>
      </c>
      <c r="Y249" s="3">
        <f t="shared" si="14"/>
        <v>0</v>
      </c>
      <c r="Z249" s="5">
        <f>Y249+Z248</f>
        <v>0</v>
      </c>
      <c r="AA249" s="3">
        <f t="shared" si="3"/>
        <v>6.0993235595808537</v>
      </c>
      <c r="AB249" s="3">
        <f t="shared" si="15"/>
        <v>1.2292289782726518E-5</v>
      </c>
      <c r="AC249" s="5">
        <f>AB249+AC248</f>
        <v>2.4584579565453037E-5</v>
      </c>
      <c r="AD249" t="s">
        <v>25</v>
      </c>
    </row>
    <row r="250" spans="1:30" hidden="1" x14ac:dyDescent="0.35">
      <c r="A250" t="s">
        <v>66</v>
      </c>
      <c r="B250" t="s">
        <v>32</v>
      </c>
      <c r="C250" t="s">
        <v>28</v>
      </c>
      <c r="D250">
        <v>0.26</v>
      </c>
      <c r="E250">
        <v>5</v>
      </c>
      <c r="F250" t="s">
        <v>22</v>
      </c>
      <c r="G250" t="s">
        <v>29</v>
      </c>
      <c r="H250" t="s">
        <v>67</v>
      </c>
      <c r="I250">
        <v>1</v>
      </c>
      <c r="J250" t="s">
        <v>24</v>
      </c>
      <c r="K250" s="2" t="s">
        <v>24</v>
      </c>
      <c r="L250" t="s">
        <v>24</v>
      </c>
      <c r="M250" t="s">
        <v>24</v>
      </c>
      <c r="N250" t="s">
        <v>24</v>
      </c>
      <c r="O250" t="s">
        <v>69</v>
      </c>
      <c r="P250">
        <v>1</v>
      </c>
      <c r="Q250" t="s">
        <v>31</v>
      </c>
      <c r="R250" s="1">
        <v>70.94</v>
      </c>
      <c r="S250" s="1">
        <v>20.9974394069881</v>
      </c>
      <c r="T250" s="1">
        <v>119.685039370078</v>
      </c>
      <c r="U250" s="3">
        <f t="shared" si="1"/>
        <v>5.8876255290895507</v>
      </c>
      <c r="V250" s="3">
        <f t="shared" si="13"/>
        <v>1.1865643530595175E-5</v>
      </c>
      <c r="W250" s="5">
        <f>V250+W249</f>
        <v>2.3744668108306897E-5</v>
      </c>
      <c r="X250" s="3">
        <f t="shared" si="2"/>
        <v>1.742670711842319</v>
      </c>
      <c r="Y250" s="3">
        <f t="shared" si="14"/>
        <v>3.512096575396005E-6</v>
      </c>
      <c r="Z250" s="5">
        <f>Y250+Z249</f>
        <v>3.512096575396005E-6</v>
      </c>
      <c r="AA250" s="3">
        <f t="shared" si="3"/>
        <v>9.9331927438026391</v>
      </c>
      <c r="AB250" s="3">
        <f t="shared" si="15"/>
        <v>2.0018889386955102E-5</v>
      </c>
      <c r="AC250" s="5">
        <f>AB250+AC249</f>
        <v>4.4603468952408135E-5</v>
      </c>
      <c r="AD250" t="s">
        <v>25</v>
      </c>
    </row>
    <row r="251" spans="1:30" hidden="1" x14ac:dyDescent="0.35">
      <c r="A251" t="s">
        <v>66</v>
      </c>
      <c r="B251" t="s">
        <v>32</v>
      </c>
      <c r="C251" t="s">
        <v>28</v>
      </c>
      <c r="D251">
        <v>0.26</v>
      </c>
      <c r="E251">
        <v>5</v>
      </c>
      <c r="F251" t="s">
        <v>22</v>
      </c>
      <c r="G251" t="s">
        <v>29</v>
      </c>
      <c r="H251" t="s">
        <v>67</v>
      </c>
      <c r="I251">
        <v>1</v>
      </c>
      <c r="J251" t="s">
        <v>24</v>
      </c>
      <c r="K251" s="2" t="s">
        <v>24</v>
      </c>
      <c r="L251" t="s">
        <v>24</v>
      </c>
      <c r="M251" t="s">
        <v>24</v>
      </c>
      <c r="N251" t="s">
        <v>24</v>
      </c>
      <c r="O251" t="s">
        <v>69</v>
      </c>
      <c r="P251">
        <v>4</v>
      </c>
      <c r="Q251" t="s">
        <v>31</v>
      </c>
      <c r="R251" s="1">
        <v>116.48</v>
      </c>
      <c r="S251" s="1">
        <v>83.989565391240106</v>
      </c>
      <c r="T251" s="1">
        <v>153.28090397391699</v>
      </c>
      <c r="U251" s="3">
        <f t="shared" si="1"/>
        <v>9.6671922981160261</v>
      </c>
      <c r="V251" s="3">
        <f t="shared" si="13"/>
        <v>1.948280460168771E-5</v>
      </c>
      <c r="W251" s="5">
        <f>V251+W250</f>
        <v>4.3227472709994606E-5</v>
      </c>
      <c r="X251" s="3">
        <f t="shared" si="2"/>
        <v>6.9706668927911117</v>
      </c>
      <c r="Y251" s="3">
        <f t="shared" si="14"/>
        <v>1.4048354147477709E-5</v>
      </c>
      <c r="Z251" s="5">
        <f>Y251+Z250</f>
        <v>1.7560450722873715E-5</v>
      </c>
      <c r="AA251" s="3">
        <f t="shared" si="3"/>
        <v>12.721462691834757</v>
      </c>
      <c r="AB251" s="3">
        <f t="shared" si="15"/>
        <v>2.563823747676753E-5</v>
      </c>
      <c r="AC251" s="5">
        <f>AB251+AC250</f>
        <v>7.0241706429175662E-5</v>
      </c>
      <c r="AD251" t="s">
        <v>25</v>
      </c>
    </row>
    <row r="252" spans="1:30" hidden="1" x14ac:dyDescent="0.35">
      <c r="A252" t="s">
        <v>66</v>
      </c>
      <c r="B252" t="s">
        <v>32</v>
      </c>
      <c r="C252" t="s">
        <v>28</v>
      </c>
      <c r="D252">
        <v>0.26</v>
      </c>
      <c r="E252">
        <v>5</v>
      </c>
      <c r="F252" t="s">
        <v>22</v>
      </c>
      <c r="G252" t="s">
        <v>29</v>
      </c>
      <c r="H252" t="s">
        <v>67</v>
      </c>
      <c r="I252">
        <v>1</v>
      </c>
      <c r="J252" t="s">
        <v>24</v>
      </c>
      <c r="K252" s="2" t="s">
        <v>24</v>
      </c>
      <c r="L252" t="s">
        <v>24</v>
      </c>
      <c r="M252" t="s">
        <v>24</v>
      </c>
      <c r="N252" t="s">
        <v>24</v>
      </c>
      <c r="O252" t="s">
        <v>69</v>
      </c>
      <c r="P252">
        <v>8</v>
      </c>
      <c r="Q252" t="s">
        <v>31</v>
      </c>
      <c r="R252" s="1">
        <v>71.5</v>
      </c>
      <c r="S252" s="1">
        <v>35.6954739788385</v>
      </c>
      <c r="T252" s="1">
        <v>100.787401574803</v>
      </c>
      <c r="U252" s="3">
        <f t="shared" si="1"/>
        <v>5.9341024151381863</v>
      </c>
      <c r="V252" s="3">
        <f t="shared" si="13"/>
        <v>1.1959310860410984E-5</v>
      </c>
      <c r="W252" s="5">
        <f>V252+W251</f>
        <v>5.5186783570405592E-5</v>
      </c>
      <c r="X252" s="3">
        <f t="shared" si="2"/>
        <v>2.9625258510115779</v>
      </c>
      <c r="Y252" s="3">
        <f t="shared" si="14"/>
        <v>5.9705352394774956E-6</v>
      </c>
      <c r="Z252" s="5">
        <f>Y252+Z251</f>
        <v>2.3530985962351212E-5</v>
      </c>
      <c r="AA252" s="3">
        <f t="shared" si="3"/>
        <v>8.3647938895180509</v>
      </c>
      <c r="AB252" s="3">
        <f t="shared" si="15"/>
        <v>1.6858012115330691E-5</v>
      </c>
      <c r="AC252" s="5">
        <f>AB252+AC251</f>
        <v>8.7099718544506353E-5</v>
      </c>
      <c r="AD252" t="s">
        <v>25</v>
      </c>
    </row>
    <row r="253" spans="1:30" hidden="1" x14ac:dyDescent="0.35">
      <c r="A253" t="s">
        <v>66</v>
      </c>
      <c r="B253" t="s">
        <v>32</v>
      </c>
      <c r="C253" t="s">
        <v>28</v>
      </c>
      <c r="D253">
        <v>0.26</v>
      </c>
      <c r="E253">
        <v>5</v>
      </c>
      <c r="F253" t="s">
        <v>22</v>
      </c>
      <c r="G253" t="s">
        <v>29</v>
      </c>
      <c r="H253" t="s">
        <v>67</v>
      </c>
      <c r="I253">
        <v>1</v>
      </c>
      <c r="J253" t="s">
        <v>24</v>
      </c>
      <c r="K253" s="2" t="s">
        <v>24</v>
      </c>
      <c r="L253" t="s">
        <v>24</v>
      </c>
      <c r="M253" t="s">
        <v>24</v>
      </c>
      <c r="N253" t="s">
        <v>24</v>
      </c>
      <c r="O253" t="s">
        <v>69</v>
      </c>
      <c r="P253">
        <v>24</v>
      </c>
      <c r="Q253" t="s">
        <v>31</v>
      </c>
      <c r="R253" s="1">
        <v>16.96</v>
      </c>
      <c r="S253" s="1">
        <v>10.4986235851377</v>
      </c>
      <c r="T253" s="1">
        <v>48.2938991756889</v>
      </c>
      <c r="U253" s="3">
        <f t="shared" si="1"/>
        <v>1.4075856917586522</v>
      </c>
      <c r="V253" s="3">
        <f t="shared" si="13"/>
        <v>2.8367819887072763E-6</v>
      </c>
      <c r="W253" s="5">
        <f>V253+W252</f>
        <v>5.8023565559112871E-5</v>
      </c>
      <c r="X253" s="3">
        <f t="shared" si="2"/>
        <v>0.87132737863206078</v>
      </c>
      <c r="Y253" s="3">
        <f t="shared" si="14"/>
        <v>1.7560322106448137E-6</v>
      </c>
      <c r="Z253" s="5">
        <f>Y253+Z252</f>
        <v>2.5287018172996027E-5</v>
      </c>
      <c r="AA253" s="3">
        <f t="shared" si="3"/>
        <v>4.0081250872013365</v>
      </c>
      <c r="AB253" s="3">
        <f t="shared" si="15"/>
        <v>8.0777867538938371E-6</v>
      </c>
      <c r="AC253" s="5">
        <f>AB253+AC252</f>
        <v>9.5177505298400195E-5</v>
      </c>
      <c r="AD253" t="s">
        <v>25</v>
      </c>
    </row>
    <row r="254" spans="1:30" hidden="1" x14ac:dyDescent="0.35">
      <c r="A254" t="s">
        <v>41</v>
      </c>
      <c r="B254" t="s">
        <v>21</v>
      </c>
      <c r="C254" t="s">
        <v>42</v>
      </c>
      <c r="D254">
        <v>0.26</v>
      </c>
      <c r="E254">
        <v>4</v>
      </c>
      <c r="F254" t="s">
        <v>22</v>
      </c>
      <c r="G254" t="s">
        <v>23</v>
      </c>
      <c r="H254" t="s">
        <v>24</v>
      </c>
      <c r="I254" t="s">
        <v>24</v>
      </c>
      <c r="J254">
        <v>1</v>
      </c>
      <c r="K254" s="2" t="s">
        <v>24</v>
      </c>
      <c r="L254" t="s">
        <v>24</v>
      </c>
      <c r="M254" t="s">
        <v>24</v>
      </c>
      <c r="N254" t="s">
        <v>24</v>
      </c>
      <c r="O254" t="s">
        <v>22</v>
      </c>
      <c r="P254">
        <v>0.08</v>
      </c>
      <c r="Q254" t="s">
        <v>59</v>
      </c>
      <c r="R254" s="1">
        <v>657.65</v>
      </c>
      <c r="S254" s="1">
        <v>531.54999999999995</v>
      </c>
      <c r="T254" s="1">
        <v>799.35</v>
      </c>
      <c r="U254" s="1" t="s">
        <v>24</v>
      </c>
      <c r="V254" s="1" t="s">
        <v>24</v>
      </c>
      <c r="W254" s="4" t="s">
        <v>24</v>
      </c>
      <c r="X254" s="1" t="s">
        <v>24</v>
      </c>
      <c r="Y254" s="1" t="s">
        <v>24</v>
      </c>
      <c r="Z254" s="4" t="s">
        <v>24</v>
      </c>
      <c r="AA254" s="1" t="s">
        <v>24</v>
      </c>
      <c r="AB254" s="1" t="s">
        <v>24</v>
      </c>
      <c r="AC254" s="4" t="s">
        <v>24</v>
      </c>
      <c r="AD254" t="s">
        <v>25</v>
      </c>
    </row>
    <row r="255" spans="1:30" hidden="1" x14ac:dyDescent="0.35">
      <c r="A255" t="s">
        <v>41</v>
      </c>
      <c r="B255" t="s">
        <v>21</v>
      </c>
      <c r="C255" t="s">
        <v>42</v>
      </c>
      <c r="D255">
        <v>0.26</v>
      </c>
      <c r="E255">
        <v>4</v>
      </c>
      <c r="F255" t="s">
        <v>22</v>
      </c>
      <c r="G255" t="s">
        <v>23</v>
      </c>
      <c r="H255" t="s">
        <v>24</v>
      </c>
      <c r="I255" t="s">
        <v>24</v>
      </c>
      <c r="J255">
        <v>1</v>
      </c>
      <c r="K255" s="2" t="s">
        <v>24</v>
      </c>
      <c r="L255" t="s">
        <v>24</v>
      </c>
      <c r="M255" t="s">
        <v>24</v>
      </c>
      <c r="N255" t="s">
        <v>24</v>
      </c>
      <c r="O255" t="s">
        <v>22</v>
      </c>
      <c r="P255">
        <v>0.16</v>
      </c>
      <c r="Q255" t="s">
        <v>59</v>
      </c>
      <c r="R255" s="1">
        <v>453.11</v>
      </c>
      <c r="S255" s="1">
        <v>393.16</v>
      </c>
      <c r="T255" s="1">
        <v>612.6</v>
      </c>
      <c r="U255" s="1" t="s">
        <v>24</v>
      </c>
      <c r="V255" s="1" t="s">
        <v>24</v>
      </c>
      <c r="W255" s="4" t="s">
        <v>24</v>
      </c>
      <c r="X255" s="1" t="s">
        <v>24</v>
      </c>
      <c r="Y255" s="1" t="s">
        <v>24</v>
      </c>
      <c r="Z255" s="4" t="s">
        <v>24</v>
      </c>
      <c r="AA255" s="1" t="s">
        <v>24</v>
      </c>
      <c r="AB255" s="1" t="s">
        <v>24</v>
      </c>
      <c r="AC255" s="4" t="s">
        <v>24</v>
      </c>
      <c r="AD255" t="s">
        <v>25</v>
      </c>
    </row>
    <row r="256" spans="1:30" hidden="1" x14ac:dyDescent="0.35">
      <c r="A256" t="s">
        <v>41</v>
      </c>
      <c r="B256" t="s">
        <v>21</v>
      </c>
      <c r="C256" t="s">
        <v>42</v>
      </c>
      <c r="D256">
        <v>0.26</v>
      </c>
      <c r="E256">
        <v>4</v>
      </c>
      <c r="F256" t="s">
        <v>22</v>
      </c>
      <c r="G256" t="s">
        <v>23</v>
      </c>
      <c r="H256" t="s">
        <v>24</v>
      </c>
      <c r="I256" t="s">
        <v>24</v>
      </c>
      <c r="J256">
        <v>1</v>
      </c>
      <c r="K256" s="2" t="s">
        <v>24</v>
      </c>
      <c r="L256" t="s">
        <v>24</v>
      </c>
      <c r="M256" t="s">
        <v>24</v>
      </c>
      <c r="N256" t="s">
        <v>24</v>
      </c>
      <c r="O256" t="s">
        <v>22</v>
      </c>
      <c r="P256">
        <v>0.25</v>
      </c>
      <c r="Q256" t="s">
        <v>59</v>
      </c>
      <c r="R256" s="1">
        <v>256.85000000000002</v>
      </c>
      <c r="S256" s="1">
        <v>200.36</v>
      </c>
      <c r="T256" s="1">
        <v>341.15</v>
      </c>
      <c r="U256" s="1" t="s">
        <v>24</v>
      </c>
      <c r="V256" s="1" t="s">
        <v>24</v>
      </c>
      <c r="W256" s="4" t="s">
        <v>24</v>
      </c>
      <c r="X256" s="1" t="s">
        <v>24</v>
      </c>
      <c r="Y256" s="1" t="s">
        <v>24</v>
      </c>
      <c r="Z256" s="4" t="s">
        <v>24</v>
      </c>
      <c r="AA256" s="1" t="s">
        <v>24</v>
      </c>
      <c r="AB256" s="1" t="s">
        <v>24</v>
      </c>
      <c r="AC256" s="4" t="s">
        <v>24</v>
      </c>
      <c r="AD256" t="s">
        <v>25</v>
      </c>
    </row>
    <row r="257" spans="1:30" hidden="1" x14ac:dyDescent="0.35">
      <c r="A257" t="s">
        <v>41</v>
      </c>
      <c r="B257" t="s">
        <v>21</v>
      </c>
      <c r="C257" t="s">
        <v>42</v>
      </c>
      <c r="D257">
        <v>0.26</v>
      </c>
      <c r="E257">
        <v>4</v>
      </c>
      <c r="F257" t="s">
        <v>22</v>
      </c>
      <c r="G257" t="s">
        <v>23</v>
      </c>
      <c r="H257" t="s">
        <v>24</v>
      </c>
      <c r="I257" t="s">
        <v>24</v>
      </c>
      <c r="J257">
        <v>1</v>
      </c>
      <c r="K257" s="2" t="s">
        <v>24</v>
      </c>
      <c r="L257" t="s">
        <v>24</v>
      </c>
      <c r="M257" t="s">
        <v>24</v>
      </c>
      <c r="N257" t="s">
        <v>24</v>
      </c>
      <c r="O257" t="s">
        <v>22</v>
      </c>
      <c r="P257">
        <v>0.5</v>
      </c>
      <c r="Q257" t="s">
        <v>59</v>
      </c>
      <c r="R257" s="1">
        <v>113.57</v>
      </c>
      <c r="S257" s="1">
        <v>93.44</v>
      </c>
      <c r="T257" s="1">
        <v>148.19999999999999</v>
      </c>
      <c r="U257" s="1" t="s">
        <v>24</v>
      </c>
      <c r="V257" s="1" t="s">
        <v>24</v>
      </c>
      <c r="W257" s="4" t="s">
        <v>24</v>
      </c>
      <c r="X257" s="1" t="s">
        <v>24</v>
      </c>
      <c r="Y257" s="1" t="s">
        <v>24</v>
      </c>
      <c r="Z257" s="4" t="s">
        <v>24</v>
      </c>
      <c r="AA257" s="1" t="s">
        <v>24</v>
      </c>
      <c r="AB257" s="1" t="s">
        <v>24</v>
      </c>
      <c r="AC257" s="4" t="s">
        <v>24</v>
      </c>
      <c r="AD257" t="s">
        <v>25</v>
      </c>
    </row>
    <row r="258" spans="1:30" hidden="1" x14ac:dyDescent="0.35">
      <c r="A258" t="s">
        <v>41</v>
      </c>
      <c r="B258" t="s">
        <v>21</v>
      </c>
      <c r="C258" t="s">
        <v>42</v>
      </c>
      <c r="D258">
        <v>0.26</v>
      </c>
      <c r="E258">
        <v>4</v>
      </c>
      <c r="F258" t="s">
        <v>22</v>
      </c>
      <c r="G258" t="s">
        <v>23</v>
      </c>
      <c r="H258" t="s">
        <v>24</v>
      </c>
      <c r="I258" t="s">
        <v>24</v>
      </c>
      <c r="J258">
        <v>1</v>
      </c>
      <c r="K258" s="2" t="s">
        <v>24</v>
      </c>
      <c r="L258" t="s">
        <v>24</v>
      </c>
      <c r="M258" t="s">
        <v>24</v>
      </c>
      <c r="N258" t="s">
        <v>24</v>
      </c>
      <c r="O258" t="s">
        <v>22</v>
      </c>
      <c r="P258">
        <v>1</v>
      </c>
      <c r="Q258" t="s">
        <v>59</v>
      </c>
      <c r="R258" s="1">
        <v>47.62</v>
      </c>
      <c r="S258" s="1">
        <v>31.67</v>
      </c>
      <c r="T258" s="1">
        <v>64.38</v>
      </c>
      <c r="U258" s="1" t="s">
        <v>24</v>
      </c>
      <c r="V258" s="1" t="s">
        <v>24</v>
      </c>
      <c r="W258" s="4" t="s">
        <v>24</v>
      </c>
      <c r="X258" s="1" t="s">
        <v>24</v>
      </c>
      <c r="Y258" s="1" t="s">
        <v>24</v>
      </c>
      <c r="Z258" s="4" t="s">
        <v>24</v>
      </c>
      <c r="AA258" s="1" t="s">
        <v>24</v>
      </c>
      <c r="AB258" s="1" t="s">
        <v>24</v>
      </c>
      <c r="AC258" s="4" t="s">
        <v>24</v>
      </c>
      <c r="AD258" t="s">
        <v>25</v>
      </c>
    </row>
    <row r="259" spans="1:30" hidden="1" x14ac:dyDescent="0.35">
      <c r="A259" t="s">
        <v>41</v>
      </c>
      <c r="B259" t="s">
        <v>21</v>
      </c>
      <c r="C259" t="s">
        <v>42</v>
      </c>
      <c r="D259">
        <v>0.26</v>
      </c>
      <c r="E259">
        <v>4</v>
      </c>
      <c r="F259" t="s">
        <v>22</v>
      </c>
      <c r="G259" t="s">
        <v>23</v>
      </c>
      <c r="H259" t="s">
        <v>24</v>
      </c>
      <c r="I259" t="s">
        <v>24</v>
      </c>
      <c r="J259">
        <v>1</v>
      </c>
      <c r="K259" s="2" t="s">
        <v>24</v>
      </c>
      <c r="L259" t="s">
        <v>24</v>
      </c>
      <c r="M259" t="s">
        <v>24</v>
      </c>
      <c r="N259" t="s">
        <v>24</v>
      </c>
      <c r="O259" t="s">
        <v>22</v>
      </c>
      <c r="P259">
        <v>2</v>
      </c>
      <c r="Q259" t="s">
        <v>59</v>
      </c>
      <c r="R259" s="1">
        <v>13.51</v>
      </c>
      <c r="S259" s="1">
        <v>7.14</v>
      </c>
      <c r="T259" s="1">
        <v>15.03</v>
      </c>
      <c r="U259" s="1" t="s">
        <v>24</v>
      </c>
      <c r="V259" s="1" t="s">
        <v>24</v>
      </c>
      <c r="W259" s="4" t="s">
        <v>24</v>
      </c>
      <c r="X259" s="1" t="s">
        <v>24</v>
      </c>
      <c r="Y259" s="1" t="s">
        <v>24</v>
      </c>
      <c r="Z259" s="4" t="s">
        <v>24</v>
      </c>
      <c r="AA259" s="1" t="s">
        <v>24</v>
      </c>
      <c r="AB259" s="1" t="s">
        <v>24</v>
      </c>
      <c r="AC259" s="4" t="s">
        <v>24</v>
      </c>
      <c r="AD259" t="s">
        <v>25</v>
      </c>
    </row>
    <row r="260" spans="1:30" hidden="1" x14ac:dyDescent="0.35">
      <c r="A260" t="s">
        <v>41</v>
      </c>
      <c r="B260" t="s">
        <v>21</v>
      </c>
      <c r="C260" t="s">
        <v>42</v>
      </c>
      <c r="D260">
        <v>0.26</v>
      </c>
      <c r="E260">
        <v>4</v>
      </c>
      <c r="F260" t="s">
        <v>22</v>
      </c>
      <c r="G260" t="s">
        <v>23</v>
      </c>
      <c r="H260" t="s">
        <v>24</v>
      </c>
      <c r="I260" t="s">
        <v>24</v>
      </c>
      <c r="J260">
        <v>1</v>
      </c>
      <c r="K260" s="2" t="s">
        <v>24</v>
      </c>
      <c r="L260" t="s">
        <v>24</v>
      </c>
      <c r="M260" t="s">
        <v>24</v>
      </c>
      <c r="N260" t="s">
        <v>24</v>
      </c>
      <c r="O260" t="s">
        <v>22</v>
      </c>
      <c r="P260">
        <v>3</v>
      </c>
      <c r="Q260" t="s">
        <v>59</v>
      </c>
      <c r="R260" s="1">
        <v>3.84</v>
      </c>
      <c r="S260" s="1">
        <v>0.27</v>
      </c>
      <c r="T260" s="1">
        <v>5.87</v>
      </c>
      <c r="U260" s="1" t="s">
        <v>24</v>
      </c>
      <c r="V260" s="1" t="s">
        <v>24</v>
      </c>
      <c r="W260" s="4" t="s">
        <v>24</v>
      </c>
      <c r="X260" s="1" t="s">
        <v>24</v>
      </c>
      <c r="Y260" s="1" t="s">
        <v>24</v>
      </c>
      <c r="Z260" s="4" t="s">
        <v>24</v>
      </c>
      <c r="AA260" s="1" t="s">
        <v>24</v>
      </c>
      <c r="AB260" s="1" t="s">
        <v>24</v>
      </c>
      <c r="AC260" s="4" t="s">
        <v>24</v>
      </c>
      <c r="AD260" t="s">
        <v>25</v>
      </c>
    </row>
    <row r="261" spans="1:30" hidden="1" x14ac:dyDescent="0.35">
      <c r="A261" t="s">
        <v>41</v>
      </c>
      <c r="B261" t="s">
        <v>21</v>
      </c>
      <c r="C261" t="s">
        <v>42</v>
      </c>
      <c r="D261">
        <v>0.26</v>
      </c>
      <c r="E261">
        <v>4</v>
      </c>
      <c r="F261" t="s">
        <v>22</v>
      </c>
      <c r="G261" t="s">
        <v>23</v>
      </c>
      <c r="H261" t="s">
        <v>24</v>
      </c>
      <c r="I261" t="s">
        <v>24</v>
      </c>
      <c r="J261">
        <v>1</v>
      </c>
      <c r="K261" s="2" t="s">
        <v>24</v>
      </c>
      <c r="L261" t="s">
        <v>24</v>
      </c>
      <c r="M261" t="s">
        <v>24</v>
      </c>
      <c r="N261" t="s">
        <v>24</v>
      </c>
      <c r="O261" t="s">
        <v>22</v>
      </c>
      <c r="P261">
        <v>6</v>
      </c>
      <c r="Q261" t="s">
        <v>59</v>
      </c>
      <c r="R261" s="1">
        <v>0.33</v>
      </c>
      <c r="S261" s="1">
        <v>0.28999999999999998</v>
      </c>
      <c r="T261" s="1">
        <v>1</v>
      </c>
      <c r="U261" s="1" t="s">
        <v>24</v>
      </c>
      <c r="V261" s="1" t="s">
        <v>24</v>
      </c>
      <c r="W261" s="4" t="s">
        <v>24</v>
      </c>
      <c r="X261" s="1" t="s">
        <v>24</v>
      </c>
      <c r="Y261" s="1" t="s">
        <v>24</v>
      </c>
      <c r="Z261" s="4" t="s">
        <v>24</v>
      </c>
      <c r="AA261" s="1" t="s">
        <v>24</v>
      </c>
      <c r="AB261" s="1" t="s">
        <v>24</v>
      </c>
      <c r="AC261" s="4" t="s">
        <v>24</v>
      </c>
      <c r="AD261" t="s">
        <v>25</v>
      </c>
    </row>
    <row r="262" spans="1:30" hidden="1" x14ac:dyDescent="0.35">
      <c r="A262" t="s">
        <v>41</v>
      </c>
      <c r="B262" t="s">
        <v>21</v>
      </c>
      <c r="C262" t="s">
        <v>42</v>
      </c>
      <c r="D262">
        <v>0.26</v>
      </c>
      <c r="E262">
        <v>4</v>
      </c>
      <c r="F262" t="s">
        <v>22</v>
      </c>
      <c r="G262" t="s">
        <v>23</v>
      </c>
      <c r="H262" t="s">
        <v>24</v>
      </c>
      <c r="I262" t="s">
        <v>24</v>
      </c>
      <c r="J262">
        <v>2</v>
      </c>
      <c r="K262" s="2" t="s">
        <v>24</v>
      </c>
      <c r="L262" t="s">
        <v>24</v>
      </c>
      <c r="M262" t="s">
        <v>24</v>
      </c>
      <c r="N262" t="s">
        <v>24</v>
      </c>
      <c r="O262" t="s">
        <v>22</v>
      </c>
      <c r="P262">
        <v>0.08</v>
      </c>
      <c r="Q262" t="s">
        <v>59</v>
      </c>
      <c r="R262" s="1">
        <v>1223.5999999999999</v>
      </c>
      <c r="S262" s="1">
        <v>785.3</v>
      </c>
      <c r="T262" s="1">
        <v>1714.03</v>
      </c>
      <c r="U262" s="1" t="s">
        <v>24</v>
      </c>
      <c r="V262" s="1" t="s">
        <v>24</v>
      </c>
      <c r="W262" s="4" t="s">
        <v>24</v>
      </c>
      <c r="X262" s="1" t="s">
        <v>24</v>
      </c>
      <c r="Y262" s="1" t="s">
        <v>24</v>
      </c>
      <c r="Z262" s="4" t="s">
        <v>24</v>
      </c>
      <c r="AA262" s="1" t="s">
        <v>24</v>
      </c>
      <c r="AB262" s="1" t="s">
        <v>24</v>
      </c>
      <c r="AC262" s="4" t="s">
        <v>24</v>
      </c>
      <c r="AD262" t="s">
        <v>25</v>
      </c>
    </row>
    <row r="263" spans="1:30" hidden="1" x14ac:dyDescent="0.35">
      <c r="A263" t="s">
        <v>41</v>
      </c>
      <c r="B263" t="s">
        <v>21</v>
      </c>
      <c r="C263" t="s">
        <v>42</v>
      </c>
      <c r="D263">
        <v>0.26</v>
      </c>
      <c r="E263">
        <v>4</v>
      </c>
      <c r="F263" t="s">
        <v>22</v>
      </c>
      <c r="G263" t="s">
        <v>23</v>
      </c>
      <c r="H263" t="s">
        <v>24</v>
      </c>
      <c r="I263" t="s">
        <v>24</v>
      </c>
      <c r="J263">
        <v>2</v>
      </c>
      <c r="K263" s="2" t="s">
        <v>24</v>
      </c>
      <c r="L263" t="s">
        <v>24</v>
      </c>
      <c r="M263" t="s">
        <v>24</v>
      </c>
      <c r="N263" t="s">
        <v>24</v>
      </c>
      <c r="O263" t="s">
        <v>22</v>
      </c>
      <c r="P263">
        <v>0.16</v>
      </c>
      <c r="Q263" t="s">
        <v>59</v>
      </c>
      <c r="R263" s="1">
        <v>771.49</v>
      </c>
      <c r="S263" s="1">
        <v>612.6</v>
      </c>
      <c r="T263" s="1">
        <v>1080.71</v>
      </c>
      <c r="U263" s="1" t="s">
        <v>24</v>
      </c>
      <c r="V263" s="1" t="s">
        <v>24</v>
      </c>
      <c r="W263" s="4" t="s">
        <v>24</v>
      </c>
      <c r="X263" s="1" t="s">
        <v>24</v>
      </c>
      <c r="Y263" s="1" t="s">
        <v>24</v>
      </c>
      <c r="Z263" s="4" t="s">
        <v>24</v>
      </c>
      <c r="AA263" s="1" t="s">
        <v>24</v>
      </c>
      <c r="AB263" s="1" t="s">
        <v>24</v>
      </c>
      <c r="AC263" s="4" t="s">
        <v>24</v>
      </c>
      <c r="AD263" t="s">
        <v>25</v>
      </c>
    </row>
    <row r="264" spans="1:30" hidden="1" x14ac:dyDescent="0.35">
      <c r="A264" t="s">
        <v>41</v>
      </c>
      <c r="B264" t="s">
        <v>21</v>
      </c>
      <c r="C264" t="s">
        <v>42</v>
      </c>
      <c r="D264">
        <v>0.26</v>
      </c>
      <c r="E264">
        <v>4</v>
      </c>
      <c r="F264" t="s">
        <v>22</v>
      </c>
      <c r="G264" t="s">
        <v>23</v>
      </c>
      <c r="H264" t="s">
        <v>24</v>
      </c>
      <c r="I264" t="s">
        <v>24</v>
      </c>
      <c r="J264">
        <v>2</v>
      </c>
      <c r="K264" s="2" t="s">
        <v>24</v>
      </c>
      <c r="L264" t="s">
        <v>24</v>
      </c>
      <c r="M264" t="s">
        <v>24</v>
      </c>
      <c r="N264" t="s">
        <v>24</v>
      </c>
      <c r="O264" t="s">
        <v>22</v>
      </c>
      <c r="P264">
        <v>0.25</v>
      </c>
      <c r="Q264" t="s">
        <v>59</v>
      </c>
      <c r="R264" s="1">
        <v>495.14</v>
      </c>
      <c r="S264" s="1">
        <v>323.45999999999998</v>
      </c>
      <c r="T264" s="1">
        <v>706.01</v>
      </c>
      <c r="U264" s="1" t="s">
        <v>24</v>
      </c>
      <c r="V264" s="1" t="s">
        <v>24</v>
      </c>
      <c r="W264" s="4" t="s">
        <v>24</v>
      </c>
      <c r="X264" s="1" t="s">
        <v>24</v>
      </c>
      <c r="Y264" s="1" t="s">
        <v>24</v>
      </c>
      <c r="Z264" s="4" t="s">
        <v>24</v>
      </c>
      <c r="AA264" s="1" t="s">
        <v>24</v>
      </c>
      <c r="AB264" s="1" t="s">
        <v>24</v>
      </c>
      <c r="AC264" s="4" t="s">
        <v>24</v>
      </c>
      <c r="AD264" t="s">
        <v>25</v>
      </c>
    </row>
    <row r="265" spans="1:30" hidden="1" x14ac:dyDescent="0.35">
      <c r="A265" t="s">
        <v>41</v>
      </c>
      <c r="B265" t="s">
        <v>21</v>
      </c>
      <c r="C265" t="s">
        <v>42</v>
      </c>
      <c r="D265">
        <v>0.26</v>
      </c>
      <c r="E265">
        <v>4</v>
      </c>
      <c r="F265" t="s">
        <v>22</v>
      </c>
      <c r="G265" t="s">
        <v>23</v>
      </c>
      <c r="H265" t="s">
        <v>24</v>
      </c>
      <c r="I265" t="s">
        <v>24</v>
      </c>
      <c r="J265">
        <v>2</v>
      </c>
      <c r="K265" s="2" t="s">
        <v>24</v>
      </c>
      <c r="L265" t="s">
        <v>24</v>
      </c>
      <c r="M265" t="s">
        <v>24</v>
      </c>
      <c r="N265" t="s">
        <v>24</v>
      </c>
      <c r="O265" t="s">
        <v>22</v>
      </c>
      <c r="P265">
        <v>0.5</v>
      </c>
      <c r="Q265" t="s">
        <v>59</v>
      </c>
      <c r="R265" s="1">
        <v>218.95</v>
      </c>
      <c r="S265" s="1">
        <v>143.03</v>
      </c>
      <c r="T265" s="1">
        <v>285.69</v>
      </c>
      <c r="U265" s="1" t="s">
        <v>24</v>
      </c>
      <c r="V265" s="1" t="s">
        <v>24</v>
      </c>
      <c r="W265" s="4" t="s">
        <v>24</v>
      </c>
      <c r="X265" s="1" t="s">
        <v>24</v>
      </c>
      <c r="Y265" s="1" t="s">
        <v>24</v>
      </c>
      <c r="Z265" s="4" t="s">
        <v>24</v>
      </c>
      <c r="AA265" s="1" t="s">
        <v>24</v>
      </c>
      <c r="AB265" s="1" t="s">
        <v>24</v>
      </c>
      <c r="AC265" s="4" t="s">
        <v>24</v>
      </c>
      <c r="AD265" t="s">
        <v>25</v>
      </c>
    </row>
    <row r="266" spans="1:30" hidden="1" x14ac:dyDescent="0.35">
      <c r="A266" t="s">
        <v>41</v>
      </c>
      <c r="B266" t="s">
        <v>21</v>
      </c>
      <c r="C266" t="s">
        <v>42</v>
      </c>
      <c r="D266">
        <v>0.26</v>
      </c>
      <c r="E266">
        <v>4</v>
      </c>
      <c r="F266" t="s">
        <v>22</v>
      </c>
      <c r="G266" t="s">
        <v>23</v>
      </c>
      <c r="H266" t="s">
        <v>24</v>
      </c>
      <c r="I266" t="s">
        <v>24</v>
      </c>
      <c r="J266">
        <v>2</v>
      </c>
      <c r="K266" s="2" t="s">
        <v>24</v>
      </c>
      <c r="L266" t="s">
        <v>24</v>
      </c>
      <c r="M266" t="s">
        <v>24</v>
      </c>
      <c r="N266" t="s">
        <v>24</v>
      </c>
      <c r="O266" t="s">
        <v>22</v>
      </c>
      <c r="P266">
        <v>1</v>
      </c>
      <c r="Q266" t="s">
        <v>59</v>
      </c>
      <c r="R266" s="1">
        <v>75.52</v>
      </c>
      <c r="S266" s="1">
        <v>52.04</v>
      </c>
      <c r="T266" s="1">
        <v>96.82</v>
      </c>
      <c r="U266" s="1" t="s">
        <v>24</v>
      </c>
      <c r="V266" s="1" t="s">
        <v>24</v>
      </c>
      <c r="W266" s="4" t="s">
        <v>24</v>
      </c>
      <c r="X266" s="1" t="s">
        <v>24</v>
      </c>
      <c r="Y266" s="1" t="s">
        <v>24</v>
      </c>
      <c r="Z266" s="4" t="s">
        <v>24</v>
      </c>
      <c r="AA266" s="1" t="s">
        <v>24</v>
      </c>
      <c r="AB266" s="1" t="s">
        <v>24</v>
      </c>
      <c r="AC266" s="4" t="s">
        <v>24</v>
      </c>
      <c r="AD266" t="s">
        <v>25</v>
      </c>
    </row>
    <row r="267" spans="1:30" hidden="1" x14ac:dyDescent="0.35">
      <c r="A267" t="s">
        <v>41</v>
      </c>
      <c r="B267" t="s">
        <v>21</v>
      </c>
      <c r="C267" t="s">
        <v>42</v>
      </c>
      <c r="D267">
        <v>0.26</v>
      </c>
      <c r="E267">
        <v>4</v>
      </c>
      <c r="F267" t="s">
        <v>22</v>
      </c>
      <c r="G267" t="s">
        <v>23</v>
      </c>
      <c r="H267" t="s">
        <v>24</v>
      </c>
      <c r="I267" t="s">
        <v>24</v>
      </c>
      <c r="J267">
        <v>2</v>
      </c>
      <c r="K267" s="2" t="s">
        <v>24</v>
      </c>
      <c r="L267" t="s">
        <v>24</v>
      </c>
      <c r="M267" t="s">
        <v>24</v>
      </c>
      <c r="N267" t="s">
        <v>24</v>
      </c>
      <c r="O267" t="s">
        <v>22</v>
      </c>
      <c r="P267">
        <v>2</v>
      </c>
      <c r="Q267" t="s">
        <v>59</v>
      </c>
      <c r="R267" s="1">
        <v>18.93</v>
      </c>
      <c r="S267" s="1">
        <v>15.57</v>
      </c>
      <c r="T267" s="1">
        <v>22.21</v>
      </c>
      <c r="U267" s="1" t="s">
        <v>24</v>
      </c>
      <c r="V267" s="1" t="s">
        <v>24</v>
      </c>
      <c r="W267" s="4" t="s">
        <v>24</v>
      </c>
      <c r="X267" s="1" t="s">
        <v>24</v>
      </c>
      <c r="Y267" s="1" t="s">
        <v>24</v>
      </c>
      <c r="Z267" s="4" t="s">
        <v>24</v>
      </c>
      <c r="AA267" s="1" t="s">
        <v>24</v>
      </c>
      <c r="AB267" s="1" t="s">
        <v>24</v>
      </c>
      <c r="AC267" s="4" t="s">
        <v>24</v>
      </c>
      <c r="AD267" t="s">
        <v>25</v>
      </c>
    </row>
    <row r="268" spans="1:30" hidden="1" x14ac:dyDescent="0.35">
      <c r="A268" t="s">
        <v>41</v>
      </c>
      <c r="B268" t="s">
        <v>21</v>
      </c>
      <c r="C268" t="s">
        <v>42</v>
      </c>
      <c r="D268">
        <v>0.26</v>
      </c>
      <c r="E268">
        <v>4</v>
      </c>
      <c r="F268" t="s">
        <v>22</v>
      </c>
      <c r="G268" t="s">
        <v>23</v>
      </c>
      <c r="H268" t="s">
        <v>24</v>
      </c>
      <c r="I268" t="s">
        <v>24</v>
      </c>
      <c r="J268">
        <v>2</v>
      </c>
      <c r="K268" s="2" t="s">
        <v>24</v>
      </c>
      <c r="L268" t="s">
        <v>24</v>
      </c>
      <c r="M268" t="s">
        <v>24</v>
      </c>
      <c r="N268" t="s">
        <v>24</v>
      </c>
      <c r="O268" t="s">
        <v>22</v>
      </c>
      <c r="P268">
        <v>3</v>
      </c>
      <c r="Q268" t="s">
        <v>59</v>
      </c>
      <c r="R268" s="1">
        <v>7.66</v>
      </c>
      <c r="S268" s="1">
        <v>6.08</v>
      </c>
      <c r="T268" s="1">
        <v>9.31</v>
      </c>
      <c r="U268" s="1" t="s">
        <v>24</v>
      </c>
      <c r="V268" s="1" t="s">
        <v>24</v>
      </c>
      <c r="W268" s="4" t="s">
        <v>24</v>
      </c>
      <c r="X268" s="1" t="s">
        <v>24</v>
      </c>
      <c r="Y268" s="1" t="s">
        <v>24</v>
      </c>
      <c r="Z268" s="4" t="s">
        <v>24</v>
      </c>
      <c r="AA268" s="1" t="s">
        <v>24</v>
      </c>
      <c r="AB268" s="1" t="s">
        <v>24</v>
      </c>
      <c r="AC268" s="4" t="s">
        <v>24</v>
      </c>
      <c r="AD268" t="s">
        <v>25</v>
      </c>
    </row>
    <row r="269" spans="1:30" hidden="1" x14ac:dyDescent="0.35">
      <c r="A269" t="s">
        <v>41</v>
      </c>
      <c r="B269" t="s">
        <v>21</v>
      </c>
      <c r="C269" t="s">
        <v>42</v>
      </c>
      <c r="D269">
        <v>0.26</v>
      </c>
      <c r="E269">
        <v>4</v>
      </c>
      <c r="F269" t="s">
        <v>22</v>
      </c>
      <c r="G269" t="s">
        <v>23</v>
      </c>
      <c r="H269" t="s">
        <v>24</v>
      </c>
      <c r="I269" t="s">
        <v>24</v>
      </c>
      <c r="J269">
        <v>2</v>
      </c>
      <c r="K269" s="2" t="s">
        <v>24</v>
      </c>
      <c r="L269" t="s">
        <v>24</v>
      </c>
      <c r="M269" t="s">
        <v>24</v>
      </c>
      <c r="N269" t="s">
        <v>24</v>
      </c>
      <c r="O269" t="s">
        <v>22</v>
      </c>
      <c r="P269">
        <v>6</v>
      </c>
      <c r="Q269" t="s">
        <v>59</v>
      </c>
      <c r="R269" s="1">
        <v>1.47</v>
      </c>
      <c r="S269" s="1">
        <v>1.17</v>
      </c>
      <c r="T269" s="1">
        <v>1.82</v>
      </c>
      <c r="U269" s="1" t="s">
        <v>24</v>
      </c>
      <c r="V269" s="1" t="s">
        <v>24</v>
      </c>
      <c r="W269" s="4" t="s">
        <v>24</v>
      </c>
      <c r="X269" s="1" t="s">
        <v>24</v>
      </c>
      <c r="Y269" s="1" t="s">
        <v>24</v>
      </c>
      <c r="Z269" s="4" t="s">
        <v>24</v>
      </c>
      <c r="AA269" s="1" t="s">
        <v>24</v>
      </c>
      <c r="AB269" s="1" t="s">
        <v>24</v>
      </c>
      <c r="AC269" s="4" t="s">
        <v>24</v>
      </c>
      <c r="AD269" t="s">
        <v>25</v>
      </c>
    </row>
    <row r="270" spans="1:30" hidden="1" x14ac:dyDescent="0.35">
      <c r="A270" t="s">
        <v>41</v>
      </c>
      <c r="B270" t="s">
        <v>21</v>
      </c>
      <c r="C270" t="s">
        <v>42</v>
      </c>
      <c r="D270">
        <v>0.26</v>
      </c>
      <c r="E270">
        <v>4</v>
      </c>
      <c r="F270" t="s">
        <v>22</v>
      </c>
      <c r="G270" t="s">
        <v>23</v>
      </c>
      <c r="H270" t="s">
        <v>24</v>
      </c>
      <c r="I270" t="s">
        <v>24</v>
      </c>
      <c r="J270">
        <v>4</v>
      </c>
      <c r="K270" s="2" t="s">
        <v>24</v>
      </c>
      <c r="L270" t="s">
        <v>24</v>
      </c>
      <c r="M270" t="s">
        <v>24</v>
      </c>
      <c r="N270" t="s">
        <v>24</v>
      </c>
      <c r="O270" t="s">
        <v>22</v>
      </c>
      <c r="P270">
        <v>0.08</v>
      </c>
      <c r="Q270" t="s">
        <v>59</v>
      </c>
      <c r="R270" s="1">
        <v>3023.78</v>
      </c>
      <c r="S270" s="1">
        <v>1683.89</v>
      </c>
      <c r="T270" s="1">
        <v>4388.72</v>
      </c>
      <c r="U270" s="1" t="s">
        <v>24</v>
      </c>
      <c r="V270" s="1" t="s">
        <v>24</v>
      </c>
      <c r="W270" s="4" t="s">
        <v>24</v>
      </c>
      <c r="X270" s="1" t="s">
        <v>24</v>
      </c>
      <c r="Y270" s="1" t="s">
        <v>24</v>
      </c>
      <c r="Z270" s="4" t="s">
        <v>24</v>
      </c>
      <c r="AA270" s="1" t="s">
        <v>24</v>
      </c>
      <c r="AB270" s="1" t="s">
        <v>24</v>
      </c>
      <c r="AC270" s="4" t="s">
        <v>24</v>
      </c>
      <c r="AD270" t="s">
        <v>25</v>
      </c>
    </row>
    <row r="271" spans="1:30" hidden="1" x14ac:dyDescent="0.35">
      <c r="A271" t="s">
        <v>41</v>
      </c>
      <c r="B271" t="s">
        <v>21</v>
      </c>
      <c r="C271" t="s">
        <v>42</v>
      </c>
      <c r="D271">
        <v>0.26</v>
      </c>
      <c r="E271">
        <v>4</v>
      </c>
      <c r="F271" t="s">
        <v>22</v>
      </c>
      <c r="G271" t="s">
        <v>23</v>
      </c>
      <c r="H271" t="s">
        <v>24</v>
      </c>
      <c r="I271" t="s">
        <v>24</v>
      </c>
      <c r="J271">
        <v>4</v>
      </c>
      <c r="K271" s="2" t="s">
        <v>24</v>
      </c>
      <c r="L271" t="s">
        <v>24</v>
      </c>
      <c r="M271" t="s">
        <v>24</v>
      </c>
      <c r="N271" t="s">
        <v>24</v>
      </c>
      <c r="O271" t="s">
        <v>22</v>
      </c>
      <c r="P271">
        <v>0.16</v>
      </c>
      <c r="Q271" t="s">
        <v>59</v>
      </c>
      <c r="R271" s="1">
        <v>1596.62</v>
      </c>
      <c r="S271" s="1">
        <v>889.13</v>
      </c>
      <c r="T271" s="1">
        <v>2358.81</v>
      </c>
      <c r="U271" s="1" t="s">
        <v>24</v>
      </c>
      <c r="V271" s="1" t="s">
        <v>24</v>
      </c>
      <c r="W271" s="4" t="s">
        <v>24</v>
      </c>
      <c r="X271" s="1" t="s">
        <v>24</v>
      </c>
      <c r="Y271" s="1" t="s">
        <v>24</v>
      </c>
      <c r="Z271" s="4" t="s">
        <v>24</v>
      </c>
      <c r="AA271" s="1" t="s">
        <v>24</v>
      </c>
      <c r="AB271" s="1" t="s">
        <v>24</v>
      </c>
      <c r="AC271" s="4" t="s">
        <v>24</v>
      </c>
      <c r="AD271" t="s">
        <v>25</v>
      </c>
    </row>
    <row r="272" spans="1:30" hidden="1" x14ac:dyDescent="0.35">
      <c r="A272" t="s">
        <v>41</v>
      </c>
      <c r="B272" t="s">
        <v>21</v>
      </c>
      <c r="C272" t="s">
        <v>42</v>
      </c>
      <c r="D272">
        <v>0.26</v>
      </c>
      <c r="E272">
        <v>4</v>
      </c>
      <c r="F272" t="s">
        <v>22</v>
      </c>
      <c r="G272" t="s">
        <v>23</v>
      </c>
      <c r="H272" t="s">
        <v>24</v>
      </c>
      <c r="I272" t="s">
        <v>24</v>
      </c>
      <c r="J272">
        <v>4</v>
      </c>
      <c r="K272" s="2" t="s">
        <v>24</v>
      </c>
      <c r="L272" t="s">
        <v>24</v>
      </c>
      <c r="M272" t="s">
        <v>24</v>
      </c>
      <c r="N272" t="s">
        <v>24</v>
      </c>
      <c r="O272" t="s">
        <v>22</v>
      </c>
      <c r="P272">
        <v>0.25</v>
      </c>
      <c r="Q272" t="s">
        <v>59</v>
      </c>
      <c r="R272" s="1">
        <v>988.98</v>
      </c>
      <c r="S272" s="1">
        <v>693.59</v>
      </c>
      <c r="T272" s="1">
        <v>1568.54</v>
      </c>
      <c r="U272" s="1" t="s">
        <v>24</v>
      </c>
      <c r="V272" s="1" t="s">
        <v>24</v>
      </c>
      <c r="W272" s="4" t="s">
        <v>24</v>
      </c>
      <c r="X272" s="1" t="s">
        <v>24</v>
      </c>
      <c r="Y272" s="1" t="s">
        <v>24</v>
      </c>
      <c r="Z272" s="4" t="s">
        <v>24</v>
      </c>
      <c r="AA272" s="1" t="s">
        <v>24</v>
      </c>
      <c r="AB272" s="1" t="s">
        <v>24</v>
      </c>
      <c r="AC272" s="4" t="s">
        <v>24</v>
      </c>
      <c r="AD272" t="s">
        <v>25</v>
      </c>
    </row>
    <row r="273" spans="1:30" hidden="1" x14ac:dyDescent="0.35">
      <c r="A273" t="s">
        <v>41</v>
      </c>
      <c r="B273" t="s">
        <v>21</v>
      </c>
      <c r="C273" t="s">
        <v>42</v>
      </c>
      <c r="D273">
        <v>0.26</v>
      </c>
      <c r="E273">
        <v>4</v>
      </c>
      <c r="F273" t="s">
        <v>22</v>
      </c>
      <c r="G273" t="s">
        <v>23</v>
      </c>
      <c r="H273" t="s">
        <v>24</v>
      </c>
      <c r="I273" t="s">
        <v>24</v>
      </c>
      <c r="J273">
        <v>4</v>
      </c>
      <c r="K273" s="2" t="s">
        <v>24</v>
      </c>
      <c r="L273" t="s">
        <v>24</v>
      </c>
      <c r="M273" t="s">
        <v>24</v>
      </c>
      <c r="N273" t="s">
        <v>24</v>
      </c>
      <c r="O273" t="s">
        <v>22</v>
      </c>
      <c r="P273">
        <v>0.5</v>
      </c>
      <c r="Q273" t="s">
        <v>59</v>
      </c>
      <c r="R273" s="1">
        <v>400.2</v>
      </c>
      <c r="S273" s="1">
        <v>290.8</v>
      </c>
      <c r="T273" s="1">
        <v>623.55999999999995</v>
      </c>
      <c r="U273" s="1" t="s">
        <v>24</v>
      </c>
      <c r="V273" s="1" t="s">
        <v>24</v>
      </c>
      <c r="W273" s="4" t="s">
        <v>24</v>
      </c>
      <c r="X273" s="1" t="s">
        <v>24</v>
      </c>
      <c r="Y273" s="1" t="s">
        <v>24</v>
      </c>
      <c r="Z273" s="4" t="s">
        <v>24</v>
      </c>
      <c r="AA273" s="1" t="s">
        <v>24</v>
      </c>
      <c r="AB273" s="1" t="s">
        <v>24</v>
      </c>
      <c r="AC273" s="4" t="s">
        <v>24</v>
      </c>
      <c r="AD273" t="s">
        <v>25</v>
      </c>
    </row>
    <row r="274" spans="1:30" hidden="1" x14ac:dyDescent="0.35">
      <c r="A274" t="s">
        <v>41</v>
      </c>
      <c r="B274" t="s">
        <v>21</v>
      </c>
      <c r="C274" t="s">
        <v>42</v>
      </c>
      <c r="D274">
        <v>0.26</v>
      </c>
      <c r="E274">
        <v>4</v>
      </c>
      <c r="F274" t="s">
        <v>22</v>
      </c>
      <c r="G274" t="s">
        <v>23</v>
      </c>
      <c r="H274" t="s">
        <v>24</v>
      </c>
      <c r="I274" t="s">
        <v>24</v>
      </c>
      <c r="J274">
        <v>4</v>
      </c>
      <c r="K274" s="2" t="s">
        <v>24</v>
      </c>
      <c r="L274" t="s">
        <v>24</v>
      </c>
      <c r="M274" t="s">
        <v>24</v>
      </c>
      <c r="N274" t="s">
        <v>24</v>
      </c>
      <c r="O274" t="s">
        <v>22</v>
      </c>
      <c r="P274">
        <v>1</v>
      </c>
      <c r="Q274" t="s">
        <v>59</v>
      </c>
      <c r="R274" s="1">
        <v>145.59</v>
      </c>
      <c r="S274" s="1">
        <v>98.55</v>
      </c>
      <c r="T274" s="1">
        <v>164.84</v>
      </c>
      <c r="U274" s="1" t="s">
        <v>24</v>
      </c>
      <c r="V274" s="1" t="s">
        <v>24</v>
      </c>
      <c r="W274" s="4" t="s">
        <v>24</v>
      </c>
      <c r="X274" s="1" t="s">
        <v>24</v>
      </c>
      <c r="Y274" s="1" t="s">
        <v>24</v>
      </c>
      <c r="Z274" s="4" t="s">
        <v>24</v>
      </c>
      <c r="AA274" s="1" t="s">
        <v>24</v>
      </c>
      <c r="AB274" s="1" t="s">
        <v>24</v>
      </c>
      <c r="AC274" s="4" t="s">
        <v>24</v>
      </c>
      <c r="AD274" t="s">
        <v>25</v>
      </c>
    </row>
    <row r="275" spans="1:30" hidden="1" x14ac:dyDescent="0.35">
      <c r="A275" t="s">
        <v>41</v>
      </c>
      <c r="B275" t="s">
        <v>21</v>
      </c>
      <c r="C275" t="s">
        <v>42</v>
      </c>
      <c r="D275">
        <v>0.26</v>
      </c>
      <c r="E275">
        <v>4</v>
      </c>
      <c r="F275" t="s">
        <v>22</v>
      </c>
      <c r="G275" t="s">
        <v>23</v>
      </c>
      <c r="H275" t="s">
        <v>24</v>
      </c>
      <c r="I275" t="s">
        <v>24</v>
      </c>
      <c r="J275">
        <v>4</v>
      </c>
      <c r="K275" s="2" t="s">
        <v>24</v>
      </c>
      <c r="L275" t="s">
        <v>24</v>
      </c>
      <c r="M275" t="s">
        <v>24</v>
      </c>
      <c r="N275" t="s">
        <v>24</v>
      </c>
      <c r="O275" t="s">
        <v>22</v>
      </c>
      <c r="P275">
        <v>2</v>
      </c>
      <c r="Q275" t="s">
        <v>59</v>
      </c>
      <c r="R275" s="1">
        <v>36.49</v>
      </c>
      <c r="S275" s="1">
        <v>21.82</v>
      </c>
      <c r="T275" s="1">
        <v>41.32</v>
      </c>
      <c r="U275" s="1" t="s">
        <v>24</v>
      </c>
      <c r="V275" s="1" t="s">
        <v>24</v>
      </c>
      <c r="W275" s="4" t="s">
        <v>24</v>
      </c>
      <c r="X275" s="1" t="s">
        <v>24</v>
      </c>
      <c r="Y275" s="1" t="s">
        <v>24</v>
      </c>
      <c r="Z275" s="4" t="s">
        <v>24</v>
      </c>
      <c r="AA275" s="1" t="s">
        <v>24</v>
      </c>
      <c r="AB275" s="1" t="s">
        <v>24</v>
      </c>
      <c r="AC275" s="4" t="s">
        <v>24</v>
      </c>
      <c r="AD275" t="s">
        <v>25</v>
      </c>
    </row>
    <row r="276" spans="1:30" hidden="1" x14ac:dyDescent="0.35">
      <c r="A276" t="s">
        <v>41</v>
      </c>
      <c r="B276" t="s">
        <v>21</v>
      </c>
      <c r="C276" t="s">
        <v>42</v>
      </c>
      <c r="D276">
        <v>0.26</v>
      </c>
      <c r="E276">
        <v>4</v>
      </c>
      <c r="F276" t="s">
        <v>22</v>
      </c>
      <c r="G276" t="s">
        <v>23</v>
      </c>
      <c r="H276" t="s">
        <v>24</v>
      </c>
      <c r="I276" t="s">
        <v>24</v>
      </c>
      <c r="J276">
        <v>4</v>
      </c>
      <c r="K276" s="2" t="s">
        <v>24</v>
      </c>
      <c r="L276" t="s">
        <v>24</v>
      </c>
      <c r="M276" t="s">
        <v>24</v>
      </c>
      <c r="N276" t="s">
        <v>24</v>
      </c>
      <c r="O276" t="s">
        <v>22</v>
      </c>
      <c r="P276">
        <v>3</v>
      </c>
      <c r="Q276" t="s">
        <v>59</v>
      </c>
      <c r="R276" s="1">
        <v>14.77</v>
      </c>
      <c r="S276" s="1">
        <v>9.31</v>
      </c>
      <c r="T276" s="1">
        <v>23.01</v>
      </c>
      <c r="U276" s="1" t="s">
        <v>24</v>
      </c>
      <c r="V276" s="1" t="s">
        <v>24</v>
      </c>
      <c r="W276" s="4" t="s">
        <v>24</v>
      </c>
      <c r="X276" s="1" t="s">
        <v>24</v>
      </c>
      <c r="Y276" s="1" t="s">
        <v>24</v>
      </c>
      <c r="Z276" s="4" t="s">
        <v>24</v>
      </c>
      <c r="AA276" s="1" t="s">
        <v>24</v>
      </c>
      <c r="AB276" s="1" t="s">
        <v>24</v>
      </c>
      <c r="AC276" s="4" t="s">
        <v>24</v>
      </c>
      <c r="AD276" t="s">
        <v>25</v>
      </c>
    </row>
    <row r="277" spans="1:30" hidden="1" x14ac:dyDescent="0.35">
      <c r="A277" t="s">
        <v>41</v>
      </c>
      <c r="B277" t="s">
        <v>21</v>
      </c>
      <c r="C277" t="s">
        <v>42</v>
      </c>
      <c r="D277">
        <v>0.26</v>
      </c>
      <c r="E277">
        <v>4</v>
      </c>
      <c r="F277" t="s">
        <v>22</v>
      </c>
      <c r="G277" t="s">
        <v>23</v>
      </c>
      <c r="H277" t="s">
        <v>24</v>
      </c>
      <c r="I277" t="s">
        <v>24</v>
      </c>
      <c r="J277">
        <v>4</v>
      </c>
      <c r="K277" s="2" t="s">
        <v>24</v>
      </c>
      <c r="L277" t="s">
        <v>24</v>
      </c>
      <c r="M277" t="s">
        <v>24</v>
      </c>
      <c r="N277" t="s">
        <v>24</v>
      </c>
      <c r="O277" t="s">
        <v>22</v>
      </c>
      <c r="P277">
        <v>6</v>
      </c>
      <c r="Q277" t="s">
        <v>59</v>
      </c>
      <c r="R277" s="1">
        <v>2.17</v>
      </c>
      <c r="S277" s="1">
        <v>1.79</v>
      </c>
      <c r="T277" s="1">
        <v>3.1</v>
      </c>
      <c r="U277" s="1" t="s">
        <v>24</v>
      </c>
      <c r="V277" s="1" t="s">
        <v>24</v>
      </c>
      <c r="W277" s="4" t="s">
        <v>24</v>
      </c>
      <c r="X277" s="1" t="s">
        <v>24</v>
      </c>
      <c r="Y277" s="1" t="s">
        <v>24</v>
      </c>
      <c r="Z277" s="4" t="s">
        <v>24</v>
      </c>
      <c r="AA277" s="1" t="s">
        <v>24</v>
      </c>
      <c r="AB277" s="1" t="s">
        <v>24</v>
      </c>
      <c r="AC277" s="4" t="s">
        <v>24</v>
      </c>
      <c r="AD277" t="s">
        <v>25</v>
      </c>
    </row>
    <row r="278" spans="1:30" hidden="1" x14ac:dyDescent="0.35">
      <c r="A278" t="s">
        <v>41</v>
      </c>
      <c r="B278" t="s">
        <v>21</v>
      </c>
      <c r="C278" t="s">
        <v>42</v>
      </c>
      <c r="D278">
        <v>0.26</v>
      </c>
      <c r="E278">
        <v>4</v>
      </c>
      <c r="F278" t="s">
        <v>22</v>
      </c>
      <c r="G278" t="s">
        <v>23</v>
      </c>
      <c r="H278" t="s">
        <v>24</v>
      </c>
      <c r="I278" t="s">
        <v>24</v>
      </c>
      <c r="J278">
        <v>4</v>
      </c>
      <c r="K278" s="2" t="s">
        <v>24</v>
      </c>
      <c r="L278" t="s">
        <v>24</v>
      </c>
      <c r="M278" t="s">
        <v>24</v>
      </c>
      <c r="N278" t="s">
        <v>24</v>
      </c>
      <c r="O278" t="s">
        <v>22</v>
      </c>
      <c r="P278">
        <v>9</v>
      </c>
      <c r="Q278" t="s">
        <v>59</v>
      </c>
      <c r="R278" s="1">
        <v>0.81</v>
      </c>
      <c r="S278" s="1">
        <v>0.75</v>
      </c>
      <c r="T278" s="1">
        <v>1.19</v>
      </c>
      <c r="U278" s="1" t="s">
        <v>24</v>
      </c>
      <c r="V278" s="1" t="s">
        <v>24</v>
      </c>
      <c r="W278" s="4" t="s">
        <v>24</v>
      </c>
      <c r="X278" s="1" t="s">
        <v>24</v>
      </c>
      <c r="Y278" s="1" t="s">
        <v>24</v>
      </c>
      <c r="Z278" s="4" t="s">
        <v>24</v>
      </c>
      <c r="AA278" s="1" t="s">
        <v>24</v>
      </c>
      <c r="AB278" s="1" t="s">
        <v>24</v>
      </c>
      <c r="AC278" s="4" t="s">
        <v>24</v>
      </c>
      <c r="AD278" t="s">
        <v>25</v>
      </c>
    </row>
    <row r="279" spans="1:30" hidden="1" x14ac:dyDescent="0.35">
      <c r="A279" t="s">
        <v>41</v>
      </c>
      <c r="B279" t="s">
        <v>21</v>
      </c>
      <c r="C279" t="s">
        <v>42</v>
      </c>
      <c r="D279">
        <v>0.26</v>
      </c>
      <c r="E279">
        <v>4</v>
      </c>
      <c r="F279" t="s">
        <v>22</v>
      </c>
      <c r="G279" t="s">
        <v>23</v>
      </c>
      <c r="H279" t="s">
        <v>24</v>
      </c>
      <c r="I279" t="s">
        <v>24</v>
      </c>
      <c r="J279">
        <v>8</v>
      </c>
      <c r="K279" s="2" t="s">
        <v>24</v>
      </c>
      <c r="L279" t="s">
        <v>24</v>
      </c>
      <c r="M279" t="s">
        <v>24</v>
      </c>
      <c r="N279" t="s">
        <v>24</v>
      </c>
      <c r="O279" t="s">
        <v>22</v>
      </c>
      <c r="P279">
        <v>0.08</v>
      </c>
      <c r="Q279" t="s">
        <v>59</v>
      </c>
      <c r="R279" s="1">
        <v>7606.19</v>
      </c>
      <c r="S279" s="1">
        <v>4968.9799999999996</v>
      </c>
      <c r="T279" s="1">
        <v>10102.61</v>
      </c>
      <c r="U279" s="1" t="s">
        <v>24</v>
      </c>
      <c r="V279" s="1" t="s">
        <v>24</v>
      </c>
      <c r="W279" s="4" t="s">
        <v>24</v>
      </c>
      <c r="X279" s="1" t="s">
        <v>24</v>
      </c>
      <c r="Y279" s="1" t="s">
        <v>24</v>
      </c>
      <c r="Z279" s="4" t="s">
        <v>24</v>
      </c>
      <c r="AA279" s="1" t="s">
        <v>24</v>
      </c>
      <c r="AB279" s="1" t="s">
        <v>24</v>
      </c>
      <c r="AC279" s="4" t="s">
        <v>24</v>
      </c>
      <c r="AD279" t="s">
        <v>25</v>
      </c>
    </row>
    <row r="280" spans="1:30" hidden="1" x14ac:dyDescent="0.35">
      <c r="A280" t="s">
        <v>41</v>
      </c>
      <c r="B280" t="s">
        <v>21</v>
      </c>
      <c r="C280" t="s">
        <v>42</v>
      </c>
      <c r="D280">
        <v>0.26</v>
      </c>
      <c r="E280">
        <v>4</v>
      </c>
      <c r="F280" t="s">
        <v>22</v>
      </c>
      <c r="G280" t="s">
        <v>23</v>
      </c>
      <c r="H280" t="s">
        <v>24</v>
      </c>
      <c r="I280" t="s">
        <v>24</v>
      </c>
      <c r="J280">
        <v>8</v>
      </c>
      <c r="K280" s="2" t="s">
        <v>24</v>
      </c>
      <c r="L280" t="s">
        <v>24</v>
      </c>
      <c r="M280" t="s">
        <v>24</v>
      </c>
      <c r="N280" t="s">
        <v>24</v>
      </c>
      <c r="O280" t="s">
        <v>22</v>
      </c>
      <c r="P280">
        <v>0.16</v>
      </c>
      <c r="Q280" t="s">
        <v>59</v>
      </c>
      <c r="R280" s="1">
        <v>4628.6099999999997</v>
      </c>
      <c r="S280" s="1">
        <v>3484.85</v>
      </c>
      <c r="T280" s="1">
        <v>5625.96</v>
      </c>
      <c r="U280" s="1" t="s">
        <v>24</v>
      </c>
      <c r="V280" s="1" t="s">
        <v>24</v>
      </c>
      <c r="W280" s="4" t="s">
        <v>24</v>
      </c>
      <c r="X280" s="1" t="s">
        <v>24</v>
      </c>
      <c r="Y280" s="1" t="s">
        <v>24</v>
      </c>
      <c r="Z280" s="4" t="s">
        <v>24</v>
      </c>
      <c r="AA280" s="1" t="s">
        <v>24</v>
      </c>
      <c r="AB280" s="1" t="s">
        <v>24</v>
      </c>
      <c r="AC280" s="4" t="s">
        <v>24</v>
      </c>
      <c r="AD280" t="s">
        <v>25</v>
      </c>
    </row>
    <row r="281" spans="1:30" hidden="1" x14ac:dyDescent="0.35">
      <c r="A281" t="s">
        <v>41</v>
      </c>
      <c r="B281" t="s">
        <v>21</v>
      </c>
      <c r="C281" t="s">
        <v>42</v>
      </c>
      <c r="D281">
        <v>0.26</v>
      </c>
      <c r="E281">
        <v>4</v>
      </c>
      <c r="F281" t="s">
        <v>22</v>
      </c>
      <c r="G281" t="s">
        <v>23</v>
      </c>
      <c r="H281" t="s">
        <v>24</v>
      </c>
      <c r="I281" t="s">
        <v>24</v>
      </c>
      <c r="J281">
        <v>8</v>
      </c>
      <c r="K281" s="2" t="s">
        <v>24</v>
      </c>
      <c r="L281" t="s">
        <v>24</v>
      </c>
      <c r="M281" t="s">
        <v>24</v>
      </c>
      <c r="N281" t="s">
        <v>24</v>
      </c>
      <c r="O281" t="s">
        <v>22</v>
      </c>
      <c r="P281">
        <v>0.25</v>
      </c>
      <c r="Q281" t="s">
        <v>59</v>
      </c>
      <c r="R281" s="1">
        <v>2918.38</v>
      </c>
      <c r="S281" s="1">
        <v>2236.56</v>
      </c>
      <c r="T281" s="1">
        <v>3484.85</v>
      </c>
      <c r="U281" s="1" t="s">
        <v>24</v>
      </c>
      <c r="V281" s="1" t="s">
        <v>24</v>
      </c>
      <c r="W281" s="4" t="s">
        <v>24</v>
      </c>
      <c r="X281" s="1" t="s">
        <v>24</v>
      </c>
      <c r="Y281" s="1" t="s">
        <v>24</v>
      </c>
      <c r="Z281" s="4" t="s">
        <v>24</v>
      </c>
      <c r="AA281" s="1" t="s">
        <v>24</v>
      </c>
      <c r="AB281" s="1" t="s">
        <v>24</v>
      </c>
      <c r="AC281" s="4" t="s">
        <v>24</v>
      </c>
      <c r="AD281" t="s">
        <v>25</v>
      </c>
    </row>
    <row r="282" spans="1:30" hidden="1" x14ac:dyDescent="0.35">
      <c r="A282" t="s">
        <v>41</v>
      </c>
      <c r="B282" t="s">
        <v>21</v>
      </c>
      <c r="C282" t="s">
        <v>42</v>
      </c>
      <c r="D282">
        <v>0.26</v>
      </c>
      <c r="E282">
        <v>4</v>
      </c>
      <c r="F282" t="s">
        <v>22</v>
      </c>
      <c r="G282" t="s">
        <v>23</v>
      </c>
      <c r="H282" t="s">
        <v>24</v>
      </c>
      <c r="I282" t="s">
        <v>24</v>
      </c>
      <c r="J282">
        <v>8</v>
      </c>
      <c r="K282" s="2" t="s">
        <v>24</v>
      </c>
      <c r="L282" t="s">
        <v>24</v>
      </c>
      <c r="M282" t="s">
        <v>24</v>
      </c>
      <c r="N282" t="s">
        <v>24</v>
      </c>
      <c r="O282" t="s">
        <v>22</v>
      </c>
      <c r="P282">
        <v>0.5</v>
      </c>
      <c r="Q282" t="s">
        <v>59</v>
      </c>
      <c r="R282" s="1">
        <v>843.05</v>
      </c>
      <c r="S282" s="1">
        <v>591.25</v>
      </c>
      <c r="T282" s="1">
        <v>1061.71</v>
      </c>
      <c r="U282" s="1" t="s">
        <v>24</v>
      </c>
      <c r="V282" s="1" t="s">
        <v>24</v>
      </c>
      <c r="W282" s="4" t="s">
        <v>24</v>
      </c>
      <c r="X282" s="1" t="s">
        <v>24</v>
      </c>
      <c r="Y282" s="1" t="s">
        <v>24</v>
      </c>
      <c r="Z282" s="4" t="s">
        <v>24</v>
      </c>
      <c r="AA282" s="1" t="s">
        <v>24</v>
      </c>
      <c r="AB282" s="1" t="s">
        <v>24</v>
      </c>
      <c r="AC282" s="4" t="s">
        <v>24</v>
      </c>
      <c r="AD282" t="s">
        <v>25</v>
      </c>
    </row>
    <row r="283" spans="1:30" hidden="1" x14ac:dyDescent="0.35">
      <c r="A283" t="s">
        <v>41</v>
      </c>
      <c r="B283" t="s">
        <v>21</v>
      </c>
      <c r="C283" t="s">
        <v>42</v>
      </c>
      <c r="D283">
        <v>0.26</v>
      </c>
      <c r="E283">
        <v>4</v>
      </c>
      <c r="F283" t="s">
        <v>22</v>
      </c>
      <c r="G283" t="s">
        <v>23</v>
      </c>
      <c r="H283" t="s">
        <v>24</v>
      </c>
      <c r="I283" t="s">
        <v>24</v>
      </c>
      <c r="J283">
        <v>8</v>
      </c>
      <c r="K283" s="2" t="s">
        <v>24</v>
      </c>
      <c r="L283" t="s">
        <v>24</v>
      </c>
      <c r="M283" t="s">
        <v>24</v>
      </c>
      <c r="N283" t="s">
        <v>24</v>
      </c>
      <c r="O283" t="s">
        <v>22</v>
      </c>
      <c r="P283">
        <v>1</v>
      </c>
      <c r="Q283" t="s">
        <v>59</v>
      </c>
      <c r="R283" s="1">
        <v>193.38</v>
      </c>
      <c r="S283" s="1">
        <v>153.55000000000001</v>
      </c>
      <c r="T283" s="1">
        <v>235.05</v>
      </c>
      <c r="U283" s="1" t="s">
        <v>24</v>
      </c>
      <c r="V283" s="1" t="s">
        <v>24</v>
      </c>
      <c r="W283" s="4" t="s">
        <v>24</v>
      </c>
      <c r="X283" s="1" t="s">
        <v>24</v>
      </c>
      <c r="Y283" s="1" t="s">
        <v>24</v>
      </c>
      <c r="Z283" s="4" t="s">
        <v>24</v>
      </c>
      <c r="AA283" s="1" t="s">
        <v>24</v>
      </c>
      <c r="AB283" s="1" t="s">
        <v>24</v>
      </c>
      <c r="AC283" s="4" t="s">
        <v>24</v>
      </c>
      <c r="AD283" t="s">
        <v>25</v>
      </c>
    </row>
    <row r="284" spans="1:30" hidden="1" x14ac:dyDescent="0.35">
      <c r="A284" t="s">
        <v>41</v>
      </c>
      <c r="B284" t="s">
        <v>21</v>
      </c>
      <c r="C284" t="s">
        <v>42</v>
      </c>
      <c r="D284">
        <v>0.26</v>
      </c>
      <c r="E284">
        <v>4</v>
      </c>
      <c r="F284" t="s">
        <v>22</v>
      </c>
      <c r="G284" t="s">
        <v>23</v>
      </c>
      <c r="H284" t="s">
        <v>24</v>
      </c>
      <c r="I284" t="s">
        <v>24</v>
      </c>
      <c r="J284">
        <v>8</v>
      </c>
      <c r="K284" s="2" t="s">
        <v>24</v>
      </c>
      <c r="L284" t="s">
        <v>24</v>
      </c>
      <c r="M284" t="s">
        <v>24</v>
      </c>
      <c r="N284" t="s">
        <v>24</v>
      </c>
      <c r="O284" t="s">
        <v>22</v>
      </c>
      <c r="P284">
        <v>2</v>
      </c>
      <c r="Q284" t="s">
        <v>59</v>
      </c>
      <c r="R284" s="1">
        <v>54.88</v>
      </c>
      <c r="S284" s="1">
        <v>41.32</v>
      </c>
      <c r="T284" s="1">
        <v>69.11</v>
      </c>
      <c r="U284" s="1" t="s">
        <v>24</v>
      </c>
      <c r="V284" s="1" t="s">
        <v>24</v>
      </c>
      <c r="W284" s="4" t="s">
        <v>24</v>
      </c>
      <c r="X284" s="1" t="s">
        <v>24</v>
      </c>
      <c r="Y284" s="1" t="s">
        <v>24</v>
      </c>
      <c r="Z284" s="4" t="s">
        <v>24</v>
      </c>
      <c r="AA284" s="1" t="s">
        <v>24</v>
      </c>
      <c r="AB284" s="1" t="s">
        <v>24</v>
      </c>
      <c r="AC284" s="4" t="s">
        <v>24</v>
      </c>
      <c r="AD284" t="s">
        <v>25</v>
      </c>
    </row>
    <row r="285" spans="1:30" hidden="1" x14ac:dyDescent="0.35">
      <c r="A285" t="s">
        <v>41</v>
      </c>
      <c r="B285" t="s">
        <v>21</v>
      </c>
      <c r="C285" t="s">
        <v>42</v>
      </c>
      <c r="D285">
        <v>0.26</v>
      </c>
      <c r="E285">
        <v>4</v>
      </c>
      <c r="F285" t="s">
        <v>22</v>
      </c>
      <c r="G285" t="s">
        <v>23</v>
      </c>
      <c r="H285" t="s">
        <v>24</v>
      </c>
      <c r="I285" t="s">
        <v>24</v>
      </c>
      <c r="J285">
        <v>8</v>
      </c>
      <c r="K285" s="2" t="s">
        <v>24</v>
      </c>
      <c r="L285" t="s">
        <v>24</v>
      </c>
      <c r="M285" t="s">
        <v>24</v>
      </c>
      <c r="N285" t="s">
        <v>24</v>
      </c>
      <c r="O285" t="s">
        <v>22</v>
      </c>
      <c r="P285">
        <v>3</v>
      </c>
      <c r="Q285" t="s">
        <v>59</v>
      </c>
      <c r="R285" s="1">
        <v>22.6</v>
      </c>
      <c r="S285" s="1">
        <v>13.04</v>
      </c>
      <c r="T285" s="1">
        <v>33.4</v>
      </c>
      <c r="U285" s="1" t="s">
        <v>24</v>
      </c>
      <c r="V285" s="1" t="s">
        <v>24</v>
      </c>
      <c r="W285" s="4" t="s">
        <v>24</v>
      </c>
      <c r="X285" s="1" t="s">
        <v>24</v>
      </c>
      <c r="Y285" s="1" t="s">
        <v>24</v>
      </c>
      <c r="Z285" s="4" t="s">
        <v>24</v>
      </c>
      <c r="AA285" s="1" t="s">
        <v>24</v>
      </c>
      <c r="AB285" s="1" t="s">
        <v>24</v>
      </c>
      <c r="AC285" s="4" t="s">
        <v>24</v>
      </c>
      <c r="AD285" t="s">
        <v>25</v>
      </c>
    </row>
    <row r="286" spans="1:30" hidden="1" x14ac:dyDescent="0.35">
      <c r="A286" t="s">
        <v>41</v>
      </c>
      <c r="B286" t="s">
        <v>21</v>
      </c>
      <c r="C286" t="s">
        <v>42</v>
      </c>
      <c r="D286">
        <v>0.26</v>
      </c>
      <c r="E286">
        <v>4</v>
      </c>
      <c r="F286" t="s">
        <v>22</v>
      </c>
      <c r="G286" t="s">
        <v>23</v>
      </c>
      <c r="H286" t="s">
        <v>24</v>
      </c>
      <c r="I286" t="s">
        <v>24</v>
      </c>
      <c r="J286">
        <v>8</v>
      </c>
      <c r="K286" s="2" t="s">
        <v>24</v>
      </c>
      <c r="L286" t="s">
        <v>24</v>
      </c>
      <c r="M286" t="s">
        <v>24</v>
      </c>
      <c r="N286" t="s">
        <v>24</v>
      </c>
      <c r="O286" t="s">
        <v>22</v>
      </c>
      <c r="P286">
        <v>6</v>
      </c>
      <c r="Q286" t="s">
        <v>59</v>
      </c>
      <c r="R286" s="1">
        <v>3.77</v>
      </c>
      <c r="S286" s="1">
        <v>2.99</v>
      </c>
      <c r="T286" s="1">
        <v>5.77</v>
      </c>
      <c r="U286" s="1" t="s">
        <v>24</v>
      </c>
      <c r="V286" s="1" t="s">
        <v>24</v>
      </c>
      <c r="W286" s="4" t="s">
        <v>24</v>
      </c>
      <c r="X286" s="1" t="s">
        <v>24</v>
      </c>
      <c r="Y286" s="1" t="s">
        <v>24</v>
      </c>
      <c r="Z286" s="4" t="s">
        <v>24</v>
      </c>
      <c r="AA286" s="1" t="s">
        <v>24</v>
      </c>
      <c r="AB286" s="1" t="s">
        <v>24</v>
      </c>
      <c r="AC286" s="4" t="s">
        <v>24</v>
      </c>
      <c r="AD286" t="s">
        <v>25</v>
      </c>
    </row>
    <row r="287" spans="1:30" hidden="1" x14ac:dyDescent="0.35">
      <c r="A287" t="s">
        <v>41</v>
      </c>
      <c r="B287" t="s">
        <v>21</v>
      </c>
      <c r="C287" t="s">
        <v>42</v>
      </c>
      <c r="D287">
        <v>0.26</v>
      </c>
      <c r="E287">
        <v>4</v>
      </c>
      <c r="F287" t="s">
        <v>22</v>
      </c>
      <c r="G287" t="s">
        <v>23</v>
      </c>
      <c r="H287" t="s">
        <v>24</v>
      </c>
      <c r="I287" t="s">
        <v>24</v>
      </c>
      <c r="J287">
        <v>8</v>
      </c>
      <c r="K287" s="2" t="s">
        <v>24</v>
      </c>
      <c r="L287" t="s">
        <v>24</v>
      </c>
      <c r="M287" t="s">
        <v>24</v>
      </c>
      <c r="N287" t="s">
        <v>24</v>
      </c>
      <c r="O287" t="s">
        <v>22</v>
      </c>
      <c r="P287">
        <v>9</v>
      </c>
      <c r="Q287" t="s">
        <v>59</v>
      </c>
      <c r="R287" s="1">
        <v>1.55</v>
      </c>
      <c r="S287" s="1">
        <v>1.19</v>
      </c>
      <c r="T287" s="1">
        <v>1.92</v>
      </c>
      <c r="U287" s="1" t="s">
        <v>24</v>
      </c>
      <c r="V287" s="1" t="s">
        <v>24</v>
      </c>
      <c r="W287" s="4" t="s">
        <v>24</v>
      </c>
      <c r="X287" s="1" t="s">
        <v>24</v>
      </c>
      <c r="Y287" s="1" t="s">
        <v>24</v>
      </c>
      <c r="Z287" s="4" t="s">
        <v>24</v>
      </c>
      <c r="AA287" s="1" t="s">
        <v>24</v>
      </c>
      <c r="AB287" s="1" t="s">
        <v>24</v>
      </c>
      <c r="AC287" s="4" t="s">
        <v>24</v>
      </c>
      <c r="AD287" t="s">
        <v>25</v>
      </c>
    </row>
    <row r="288" spans="1:30" x14ac:dyDescent="0.35">
      <c r="X288" s="1" t="s">
        <v>24</v>
      </c>
      <c r="Y288" s="1" t="s">
        <v>24</v>
      </c>
    </row>
    <row r="289" spans="24:25" x14ac:dyDescent="0.35">
      <c r="X289" s="1" t="s">
        <v>24</v>
      </c>
      <c r="Y289" s="1" t="s">
        <v>24</v>
      </c>
    </row>
    <row r="290" spans="24:25" x14ac:dyDescent="0.35">
      <c r="X290" s="1" t="s">
        <v>24</v>
      </c>
      <c r="Y290" s="1" t="s">
        <v>24</v>
      </c>
    </row>
    <row r="291" spans="24:25" x14ac:dyDescent="0.35">
      <c r="X291" s="1" t="s">
        <v>24</v>
      </c>
      <c r="Y291" s="1" t="s">
        <v>24</v>
      </c>
    </row>
    <row r="292" spans="24:25" x14ac:dyDescent="0.35">
      <c r="X292" s="1" t="s">
        <v>24</v>
      </c>
      <c r="Y292" s="1" t="s">
        <v>24</v>
      </c>
    </row>
    <row r="293" spans="24:25" x14ac:dyDescent="0.35">
      <c r="X293" s="1" t="s">
        <v>24</v>
      </c>
      <c r="Y293" s="1" t="s">
        <v>24</v>
      </c>
    </row>
  </sheetData>
  <autoFilter ref="A1:AD293" xr:uid="{81B64A6D-C161-42B0-BDCE-B401913E74B1}">
    <filterColumn colId="6">
      <filters>
        <filter val="IV.PERF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08e2132e63c6ee1d6b0a0758f6c0554f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0ed1ebf33a67d32129b0ef2e0882217b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109945-5B94-476B-B11F-C8F88FAA44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ff3df-f16a-482d-bb3c-58af1efa1658"/>
    <ds:schemaRef ds:uri="13cea704-446d-46be-be94-9e10425fe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603937-9A8A-43CD-9840-96EB07A269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F06129-0809-4453-9DBE-E9D618AD8E87}">
  <ds:schemaRefs>
    <ds:schemaRef ds:uri="http://schemas.microsoft.com/office/2006/metadata/properties"/>
    <ds:schemaRef ds:uri="http://schemas.microsoft.com/office/infopath/2007/PartnerControls"/>
    <ds:schemaRef ds:uri="568ff3df-f16a-482d-bb3c-58af1efa16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ObservedData.Rat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Pachoulide, Chrysanthi</cp:lastModifiedBy>
  <dcterms:created xsi:type="dcterms:W3CDTF">2026-01-20T15:48:04Z</dcterms:created>
  <dcterms:modified xsi:type="dcterms:W3CDTF">2026-01-21T10:18:31Z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  <property fmtid="{D5CDD505-2E9C-101B-9397-08002B2CF9AE}" pid="3" name="MediaServiceImageTags">
    <vt:lpwstr/>
  </property>
</Properties>
</file>